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eas\"/>
    </mc:Choice>
  </mc:AlternateContent>
  <xr:revisionPtr revIDLastSave="0" documentId="13_ncr:40009_{AD4C6EAF-86F2-4B9B-9C20-85B4A831A5EB}" xr6:coauthVersionLast="47" xr6:coauthVersionMax="47" xr10:uidLastSave="{00000000-0000-0000-0000-000000000000}"/>
  <bookViews>
    <workbookView xWindow="1905" yWindow="1905" windowWidth="21600" windowHeight="11385" activeTab="1"/>
  </bookViews>
  <sheets>
    <sheet name="Measurements" sheetId="1" r:id="rId1"/>
    <sheet name="SED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2" l="1" a="1"/>
  <c r="A3" i="2" s="1"/>
  <c r="I3" i="2" s="1"/>
  <c r="B3" i="2" a="1"/>
  <c r="B3" i="2" s="1"/>
  <c r="J3" i="2" s="1"/>
  <c r="C3" i="2" a="1"/>
  <c r="C3" i="2" s="1"/>
  <c r="K3" i="2" s="1"/>
  <c r="D3" i="2" a="1"/>
  <c r="D3" i="2" s="1"/>
  <c r="L3" i="2" s="1"/>
  <c r="E3" i="2" a="1"/>
  <c r="E3" i="2"/>
  <c r="F3" i="2" a="1"/>
  <c r="F3" i="2" s="1"/>
  <c r="N3" i="2" s="1"/>
  <c r="G3" i="2" a="1"/>
  <c r="G3" i="2"/>
  <c r="H3" i="2" a="1"/>
  <c r="H3" i="2"/>
  <c r="P3" i="2" s="1"/>
  <c r="M3" i="2"/>
  <c r="O3" i="2"/>
  <c r="A4" i="2" a="1"/>
  <c r="A4" i="2"/>
  <c r="I4" i="2" s="1"/>
  <c r="B4" i="2" a="1"/>
  <c r="B4" i="2" s="1"/>
  <c r="J4" i="2" s="1"/>
  <c r="C4" i="2" a="1"/>
  <c r="C4" i="2"/>
  <c r="D4" i="2" a="1"/>
  <c r="D4" i="2"/>
  <c r="L4" i="2" s="1"/>
  <c r="E4" i="2" a="1"/>
  <c r="E4" i="2" s="1"/>
  <c r="M4" i="2" s="1"/>
  <c r="F4" i="2" a="1"/>
  <c r="F4" i="2" s="1"/>
  <c r="N4" i="2" s="1"/>
  <c r="G4" i="2" a="1"/>
  <c r="G4" i="2" s="1"/>
  <c r="O4" i="2" s="1"/>
  <c r="H4" i="2" a="1"/>
  <c r="H4" i="2" s="1"/>
  <c r="P4" i="2" s="1"/>
  <c r="K4" i="2"/>
  <c r="A5" i="2" a="1"/>
  <c r="A5" i="2" s="1"/>
  <c r="I5" i="2" s="1"/>
  <c r="B5" i="2" a="1"/>
  <c r="B5" i="2" s="1"/>
  <c r="J5" i="2" s="1"/>
  <c r="C5" i="2" a="1"/>
  <c r="C5" i="2" s="1"/>
  <c r="K5" i="2" s="1"/>
  <c r="D5" i="2" a="1"/>
  <c r="D5" i="2" s="1"/>
  <c r="L5" i="2" s="1"/>
  <c r="E5" i="2" a="1"/>
  <c r="E5" i="2"/>
  <c r="F5" i="2" a="1"/>
  <c r="F5" i="2" s="1"/>
  <c r="N5" i="2" s="1"/>
  <c r="G5" i="2" a="1"/>
  <c r="G5" i="2"/>
  <c r="H5" i="2" a="1"/>
  <c r="H5" i="2"/>
  <c r="P5" i="2" s="1"/>
  <c r="M5" i="2"/>
  <c r="O5" i="2"/>
  <c r="A6" i="2" a="1"/>
  <c r="A6" i="2"/>
  <c r="I6" i="2" s="1"/>
  <c r="B6" i="2" a="1"/>
  <c r="B6" i="2" s="1"/>
  <c r="J6" i="2" s="1"/>
  <c r="C6" i="2" a="1"/>
  <c r="C6" i="2"/>
  <c r="D6" i="2" a="1"/>
  <c r="D6" i="2"/>
  <c r="L6" i="2" s="1"/>
  <c r="E6" i="2" a="1"/>
  <c r="E6" i="2" s="1"/>
  <c r="M6" i="2" s="1"/>
  <c r="F6" i="2" a="1"/>
  <c r="F6" i="2" s="1"/>
  <c r="N6" i="2" s="1"/>
  <c r="G6" i="2" a="1"/>
  <c r="G6" i="2" s="1"/>
  <c r="O6" i="2" s="1"/>
  <c r="H6" i="2" a="1"/>
  <c r="H6" i="2" s="1"/>
  <c r="P6" i="2" s="1"/>
  <c r="K6" i="2"/>
  <c r="A7" i="2" a="1"/>
  <c r="A7" i="2" s="1"/>
  <c r="I7" i="2" s="1"/>
  <c r="B7" i="2" a="1"/>
  <c r="B7" i="2" s="1"/>
  <c r="J7" i="2" s="1"/>
  <c r="C7" i="2" a="1"/>
  <c r="C7" i="2" s="1"/>
  <c r="K7" i="2" s="1"/>
  <c r="D7" i="2" a="1"/>
  <c r="D7" i="2" s="1"/>
  <c r="L7" i="2" s="1"/>
  <c r="E7" i="2" a="1"/>
  <c r="E7" i="2"/>
  <c r="F7" i="2" a="1"/>
  <c r="F7" i="2" s="1"/>
  <c r="N7" i="2" s="1"/>
  <c r="G7" i="2" a="1"/>
  <c r="G7" i="2"/>
  <c r="H7" i="2" a="1"/>
  <c r="H7" i="2"/>
  <c r="P7" i="2" s="1"/>
  <c r="M7" i="2"/>
  <c r="O7" i="2"/>
  <c r="A8" i="2" a="1"/>
  <c r="A8" i="2"/>
  <c r="B8" i="2" a="1"/>
  <c r="B8" i="2" s="1"/>
  <c r="J8" i="2" s="1"/>
  <c r="C8" i="2" a="1"/>
  <c r="C8" i="2"/>
  <c r="D8" i="2" a="1"/>
  <c r="D8" i="2"/>
  <c r="L8" i="2" s="1"/>
  <c r="E8" i="2" a="1"/>
  <c r="E8" i="2" s="1"/>
  <c r="M8" i="2" s="1"/>
  <c r="F8" i="2" a="1"/>
  <c r="F8" i="2" s="1"/>
  <c r="N8" i="2" s="1"/>
  <c r="G8" i="2" a="1"/>
  <c r="G8" i="2" s="1"/>
  <c r="O8" i="2" s="1"/>
  <c r="H8" i="2" a="1"/>
  <c r="H8" i="2" s="1"/>
  <c r="P8" i="2" s="1"/>
  <c r="I8" i="2"/>
  <c r="K8" i="2"/>
  <c r="A9" i="2" a="1"/>
  <c r="A9" i="2" s="1"/>
  <c r="I9" i="2" s="1"/>
  <c r="B9" i="2" a="1"/>
  <c r="B9" i="2" s="1"/>
  <c r="J9" i="2" s="1"/>
  <c r="C9" i="2" a="1"/>
  <c r="C9" i="2" s="1"/>
  <c r="K9" i="2" s="1"/>
  <c r="D9" i="2" a="1"/>
  <c r="D9" i="2" s="1"/>
  <c r="L9" i="2" s="1"/>
  <c r="E9" i="2" a="1"/>
  <c r="E9" i="2" s="1"/>
  <c r="M9" i="2" s="1"/>
  <c r="F9" i="2" a="1"/>
  <c r="F9" i="2" s="1"/>
  <c r="N9" i="2" s="1"/>
  <c r="G9" i="2" a="1"/>
  <c r="G9" i="2"/>
  <c r="H9" i="2" a="1"/>
  <c r="H9" i="2"/>
  <c r="P9" i="2" s="1"/>
  <c r="O9" i="2"/>
  <c r="A10" i="2" a="1"/>
  <c r="A10" i="2" s="1"/>
  <c r="I10" i="2" s="1"/>
  <c r="B10" i="2" a="1"/>
  <c r="B10" i="2" s="1"/>
  <c r="J10" i="2" s="1"/>
  <c r="C10" i="2" a="1"/>
  <c r="C10" i="2"/>
  <c r="D10" i="2" a="1"/>
  <c r="D10" i="2"/>
  <c r="L10" i="2" s="1"/>
  <c r="E10" i="2" a="1"/>
  <c r="E10" i="2" s="1"/>
  <c r="M10" i="2" s="1"/>
  <c r="F10" i="2" a="1"/>
  <c r="F10" i="2" s="1"/>
  <c r="N10" i="2" s="1"/>
  <c r="G10" i="2" a="1"/>
  <c r="G10" i="2" s="1"/>
  <c r="O10" i="2" s="1"/>
  <c r="H10" i="2" a="1"/>
  <c r="H10" i="2" s="1"/>
  <c r="P10" i="2" s="1"/>
  <c r="K10" i="2"/>
  <c r="A11" i="2" a="1"/>
  <c r="A11" i="2" s="1"/>
  <c r="I11" i="2" s="1"/>
  <c r="B11" i="2" a="1"/>
  <c r="B11" i="2" s="1"/>
  <c r="J11" i="2" s="1"/>
  <c r="C11" i="2" a="1"/>
  <c r="C11" i="2" s="1"/>
  <c r="K11" i="2" s="1"/>
  <c r="D11" i="2" a="1"/>
  <c r="D11" i="2" s="1"/>
  <c r="L11" i="2" s="1"/>
  <c r="E11" i="2" a="1"/>
  <c r="E11" i="2" s="1"/>
  <c r="M11" i="2" s="1"/>
  <c r="F11" i="2" a="1"/>
  <c r="F11" i="2" s="1"/>
  <c r="N11" i="2" s="1"/>
  <c r="G11" i="2" a="1"/>
  <c r="G11" i="2"/>
  <c r="H11" i="2" a="1"/>
  <c r="H11" i="2"/>
  <c r="P11" i="2" s="1"/>
  <c r="O11" i="2"/>
  <c r="A12" i="2" a="1"/>
  <c r="A12" i="2" s="1"/>
  <c r="I12" i="2" s="1"/>
  <c r="B12" i="2" a="1"/>
  <c r="B12" i="2" s="1"/>
  <c r="J12" i="2" s="1"/>
  <c r="C12" i="2" a="1"/>
  <c r="C12" i="2"/>
  <c r="D12" i="2" a="1"/>
  <c r="D12" i="2"/>
  <c r="L12" i="2" s="1"/>
  <c r="E12" i="2" a="1"/>
  <c r="E12" i="2" s="1"/>
  <c r="M12" i="2" s="1"/>
  <c r="F12" i="2" a="1"/>
  <c r="F12" i="2" s="1"/>
  <c r="N12" i="2" s="1"/>
  <c r="G12" i="2" a="1"/>
  <c r="G12" i="2" s="1"/>
  <c r="O12" i="2" s="1"/>
  <c r="H12" i="2" a="1"/>
  <c r="H12" i="2" s="1"/>
  <c r="P12" i="2" s="1"/>
  <c r="K12" i="2"/>
  <c r="A13" i="2" a="1"/>
  <c r="A13" i="2" s="1"/>
  <c r="I13" i="2" s="1"/>
  <c r="B13" i="2" a="1"/>
  <c r="B13" i="2" s="1"/>
  <c r="J13" i="2" s="1"/>
  <c r="C13" i="2" a="1"/>
  <c r="C13" i="2" s="1"/>
  <c r="K13" i="2" s="1"/>
  <c r="D13" i="2" a="1"/>
  <c r="D13" i="2" s="1"/>
  <c r="L13" i="2" s="1"/>
  <c r="E13" i="2" a="1"/>
  <c r="E13" i="2" s="1"/>
  <c r="M13" i="2" s="1"/>
  <c r="F13" i="2" a="1"/>
  <c r="F13" i="2" s="1"/>
  <c r="N13" i="2" s="1"/>
  <c r="G13" i="2" a="1"/>
  <c r="G13" i="2"/>
  <c r="H13" i="2" a="1"/>
  <c r="H13" i="2"/>
  <c r="P13" i="2" s="1"/>
  <c r="O13" i="2"/>
  <c r="H2" i="2" a="1"/>
  <c r="H2" i="2" s="1"/>
  <c r="P2" i="2" s="1"/>
  <c r="G2" i="2" a="1"/>
  <c r="G2" i="2" s="1"/>
  <c r="O2" i="2" s="1"/>
  <c r="F2" i="2" a="1"/>
  <c r="F2" i="2" s="1"/>
  <c r="N2" i="2" s="1"/>
  <c r="E2" i="2" a="1"/>
  <c r="E2" i="2" s="1"/>
  <c r="M2" i="2" s="1"/>
  <c r="D2" i="2" a="1"/>
  <c r="D2" i="2" s="1"/>
  <c r="L2" i="2" s="1"/>
  <c r="C2" i="2" a="1"/>
  <c r="C2" i="2" s="1"/>
  <c r="K2" i="2" s="1"/>
  <c r="B2" i="2" a="1"/>
  <c r="B2" i="2" s="1"/>
  <c r="J2" i="2" s="1"/>
  <c r="A2" i="2" a="1"/>
  <c r="A2" i="2" s="1"/>
  <c r="I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<sst xmlns="http://schemas.openxmlformats.org/spreadsheetml/2006/main" count="534" uniqueCount="59">
  <si>
    <t>Label</t>
  </si>
  <si>
    <t>slice</t>
  </si>
  <si>
    <t>Saturated</t>
  </si>
  <si>
    <t>J.D.-2400000</t>
  </si>
  <si>
    <t>JD_UTC</t>
  </si>
  <si>
    <t>BJD_TDB</t>
  </si>
  <si>
    <t>JD_SOBS</t>
  </si>
  <si>
    <t>HJD_UTC</t>
  </si>
  <si>
    <t>AIRMASS</t>
  </si>
  <si>
    <t>ALT_OBJ</t>
  </si>
  <si>
    <t>CCD-TEMP</t>
  </si>
  <si>
    <t>EXPTIME</t>
  </si>
  <si>
    <t>RAOBJ2K</t>
  </si>
  <si>
    <t>DECOBJ2K</t>
  </si>
  <si>
    <t>FWHM_Mean</t>
  </si>
  <si>
    <t>Source_Radius</t>
  </si>
  <si>
    <t>Sky_Rad(min)</t>
  </si>
  <si>
    <t>Sky_Rad(max)</t>
  </si>
  <si>
    <t>X(IJ)_T1</t>
  </si>
  <si>
    <t>Y(IJ)_T1</t>
  </si>
  <si>
    <t>X(FITS)_T1</t>
  </si>
  <si>
    <t>Y(FITS)_T1</t>
  </si>
  <si>
    <t>Source-Sky_T1</t>
  </si>
  <si>
    <t>N_Src_Pixels_T1</t>
  </si>
  <si>
    <t>Source_Error_T1</t>
  </si>
  <si>
    <t>Source_SNR_T1</t>
  </si>
  <si>
    <t>Peak_T1</t>
  </si>
  <si>
    <t>Mean_T1</t>
  </si>
  <si>
    <t>Sky/Pixel_T1</t>
  </si>
  <si>
    <t>N_Sky_Pixels_T1</t>
  </si>
  <si>
    <t>FWHM_T1</t>
  </si>
  <si>
    <t>Width_T1</t>
  </si>
  <si>
    <t>X-Width_T1</t>
  </si>
  <si>
    <t>Y-Width_T1</t>
  </si>
  <si>
    <t>Angle_T1</t>
  </si>
  <si>
    <t>Roundness_T1</t>
  </si>
  <si>
    <t>b.fits</t>
  </si>
  <si>
    <t>NaN</t>
  </si>
  <si>
    <t>i.fits</t>
  </si>
  <si>
    <t>u.fits</t>
  </si>
  <si>
    <t>v.fits</t>
  </si>
  <si>
    <t>U</t>
  </si>
  <si>
    <t>B</t>
  </si>
  <si>
    <t>I</t>
  </si>
  <si>
    <t>V</t>
  </si>
  <si>
    <t>b</t>
  </si>
  <si>
    <t>i</t>
  </si>
  <si>
    <t>u</t>
  </si>
  <si>
    <t>v</t>
  </si>
  <si>
    <t>type</t>
  </si>
  <si>
    <t>z</t>
  </si>
  <si>
    <t>dB</t>
  </si>
  <si>
    <t>dI</t>
  </si>
  <si>
    <t>dU</t>
  </si>
  <si>
    <t>dV</t>
  </si>
  <si>
    <t>db</t>
  </si>
  <si>
    <t>di</t>
  </si>
  <si>
    <t>du</t>
  </si>
  <si>
    <t>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</si>
</sst>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49"/>
  <sheetViews>
    <sheetView topLeftCell="A16" workbookViewId="0">
      <selection activeCell="A46" sqref="A46:AJ49"/>
    </sheetView>
  </sheetViews>
  <sheetFormatPr defaultRowHeight="15" x14ac:dyDescent="0.25"/>
  <cols>
    <col min="1" max="1" width="5.7109375" bestFit="1" customWidth="1"/>
    <col min="2" max="2" width="5" bestFit="1" customWidth="1"/>
    <col min="3" max="3" width="9.5703125" bestFit="1" customWidth="1"/>
    <col min="4" max="4" width="11.85546875" bestFit="1" customWidth="1"/>
    <col min="5" max="5" width="7.42578125" bestFit="1" customWidth="1"/>
    <col min="6" max="7" width="8.5703125" bestFit="1" customWidth="1"/>
    <col min="8" max="8" width="8.7109375" bestFit="1" customWidth="1"/>
    <col min="9" max="9" width="9" bestFit="1" customWidth="1"/>
    <col min="10" max="10" width="8.42578125" bestFit="1" customWidth="1"/>
    <col min="11" max="11" width="10.140625" bestFit="1" customWidth="1"/>
    <col min="12" max="12" width="8.5703125" bestFit="1" customWidth="1"/>
    <col min="13" max="13" width="8.85546875" bestFit="1" customWidth="1"/>
    <col min="14" max="14" width="9.85546875" bestFit="1" customWidth="1"/>
    <col min="15" max="15" width="12.85546875" bestFit="1" customWidth="1"/>
    <col min="16" max="16" width="14" bestFit="1" customWidth="1"/>
    <col min="17" max="17" width="13.28515625" bestFit="1" customWidth="1"/>
    <col min="18" max="18" width="13.5703125" bestFit="1" customWidth="1"/>
    <col min="19" max="22" width="12" bestFit="1" customWidth="1"/>
    <col min="23" max="23" width="13.85546875" bestFit="1" customWidth="1"/>
    <col min="24" max="25" width="15.42578125" bestFit="1" customWidth="1"/>
    <col min="26" max="26" width="14.7109375" bestFit="1" customWidth="1"/>
    <col min="27" max="28" width="12" bestFit="1" customWidth="1"/>
    <col min="29" max="29" width="12.28515625" bestFit="1" customWidth="1"/>
    <col min="30" max="30" width="15.85546875" bestFit="1" customWidth="1"/>
    <col min="31" max="35" width="12" bestFit="1" customWidth="1"/>
    <col min="36" max="36" width="13.85546875" bestFit="1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25">
      <c r="A2" t="s">
        <v>36</v>
      </c>
      <c r="B2">
        <v>1</v>
      </c>
      <c r="C2">
        <v>0</v>
      </c>
      <c r="D2">
        <v>0</v>
      </c>
      <c r="E2" t="s">
        <v>37</v>
      </c>
      <c r="F2" t="s">
        <v>37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>
        <v>120600</v>
      </c>
      <c r="M2" t="s">
        <v>37</v>
      </c>
      <c r="N2" t="s">
        <v>37</v>
      </c>
      <c r="O2">
        <v>21.339756012213901</v>
      </c>
      <c r="P2">
        <v>39</v>
      </c>
      <c r="Q2">
        <v>77</v>
      </c>
      <c r="R2">
        <v>154</v>
      </c>
      <c r="S2">
        <v>1862.3659404827699</v>
      </c>
      <c r="T2">
        <v>1495.3204342091501</v>
      </c>
      <c r="U2">
        <v>1862.8659404827699</v>
      </c>
      <c r="V2">
        <v>553.17956579084102</v>
      </c>
      <c r="W2">
        <v>18863.015726868201</v>
      </c>
      <c r="X2">
        <v>4778.3624261100704</v>
      </c>
      <c r="Y2">
        <v>1303.8610523417501</v>
      </c>
      <c r="Z2">
        <v>14.467044393258</v>
      </c>
      <c r="AA2">
        <v>397.16796875</v>
      </c>
      <c r="AB2">
        <v>3.9475899994099199</v>
      </c>
      <c r="AC2">
        <v>319.40897514007702</v>
      </c>
      <c r="AD2">
        <v>47204</v>
      </c>
      <c r="AE2">
        <v>21.339756012213901</v>
      </c>
      <c r="AF2">
        <v>33.715723140097602</v>
      </c>
      <c r="AG2">
        <v>35.835213163516897</v>
      </c>
      <c r="AH2">
        <v>31.596233116678199</v>
      </c>
      <c r="AI2">
        <v>323.11397018122301</v>
      </c>
      <c r="AJ2">
        <v>0.61733137936340898</v>
      </c>
    </row>
    <row r="3" spans="1:36" x14ac:dyDescent="0.25">
      <c r="A3" t="s">
        <v>38</v>
      </c>
      <c r="B3">
        <v>2</v>
      </c>
      <c r="C3">
        <v>0</v>
      </c>
      <c r="D3">
        <v>0</v>
      </c>
      <c r="E3" t="s">
        <v>37</v>
      </c>
      <c r="F3" t="s">
        <v>37</v>
      </c>
      <c r="G3" t="s">
        <v>37</v>
      </c>
      <c r="H3" t="s">
        <v>37</v>
      </c>
      <c r="I3" t="s">
        <v>37</v>
      </c>
      <c r="J3" t="s">
        <v>37</v>
      </c>
      <c r="K3" t="s">
        <v>37</v>
      </c>
      <c r="L3">
        <v>123600</v>
      </c>
      <c r="M3" t="s">
        <v>37</v>
      </c>
      <c r="N3" t="s">
        <v>37</v>
      </c>
      <c r="O3">
        <v>24.720591423041299</v>
      </c>
      <c r="P3">
        <v>39</v>
      </c>
      <c r="Q3">
        <v>77</v>
      </c>
      <c r="R3">
        <v>154</v>
      </c>
      <c r="S3">
        <v>1864.9710762249999</v>
      </c>
      <c r="T3">
        <v>1493.22713169798</v>
      </c>
      <c r="U3">
        <v>1865.4710762249999</v>
      </c>
      <c r="V3">
        <v>555.27286830201297</v>
      </c>
      <c r="W3">
        <v>62848.658863867597</v>
      </c>
      <c r="X3">
        <v>4778.3624261100704</v>
      </c>
      <c r="Y3">
        <v>2032.2388586288901</v>
      </c>
      <c r="Z3">
        <v>30.925822817043301</v>
      </c>
      <c r="AA3">
        <v>923.64733886718705</v>
      </c>
      <c r="AB3">
        <v>13.152760979461901</v>
      </c>
      <c r="AC3">
        <v>771.87162100190596</v>
      </c>
      <c r="AD3">
        <v>46572</v>
      </c>
      <c r="AE3">
        <v>24.720591423041299</v>
      </c>
      <c r="AF3">
        <v>32.753221509710997</v>
      </c>
      <c r="AG3">
        <v>34.465367714557097</v>
      </c>
      <c r="AH3">
        <v>31.041075304865</v>
      </c>
      <c r="AI3">
        <v>322.29365609438702</v>
      </c>
      <c r="AJ3">
        <v>0.64377448365516499</v>
      </c>
    </row>
    <row r="4" spans="1:36" x14ac:dyDescent="0.25">
      <c r="A4" t="s">
        <v>39</v>
      </c>
      <c r="B4">
        <v>3</v>
      </c>
      <c r="C4">
        <v>0</v>
      </c>
      <c r="D4">
        <v>0</v>
      </c>
      <c r="E4" t="s">
        <v>37</v>
      </c>
      <c r="F4" t="s">
        <v>37</v>
      </c>
      <c r="G4" t="s">
        <v>37</v>
      </c>
      <c r="H4" t="s">
        <v>37</v>
      </c>
      <c r="I4" t="s">
        <v>37</v>
      </c>
      <c r="J4" t="s">
        <v>37</v>
      </c>
      <c r="K4" t="s">
        <v>37</v>
      </c>
      <c r="L4">
        <v>153700</v>
      </c>
      <c r="M4" t="s">
        <v>37</v>
      </c>
      <c r="N4" t="s">
        <v>37</v>
      </c>
      <c r="O4">
        <v>12.5353764380698</v>
      </c>
      <c r="P4">
        <v>39</v>
      </c>
      <c r="Q4">
        <v>77</v>
      </c>
      <c r="R4">
        <v>154</v>
      </c>
      <c r="S4">
        <v>1860.3074478024801</v>
      </c>
      <c r="T4">
        <v>1497.7956436500001</v>
      </c>
      <c r="U4">
        <v>1860.8074478024801</v>
      </c>
      <c r="V4">
        <v>550.70435634999603</v>
      </c>
      <c r="W4">
        <v>6159.9944062514696</v>
      </c>
      <c r="X4">
        <v>4778.3624261100704</v>
      </c>
      <c r="Y4">
        <v>706.587088868911</v>
      </c>
      <c r="Z4">
        <v>8.7179549460948191</v>
      </c>
      <c r="AA4">
        <v>117.304626464843</v>
      </c>
      <c r="AB4">
        <v>1.2891434045671799</v>
      </c>
      <c r="AC4">
        <v>93.617893065144301</v>
      </c>
      <c r="AD4">
        <v>47160</v>
      </c>
      <c r="AE4">
        <v>12.5353764380698</v>
      </c>
      <c r="AF4">
        <v>31.930624152215699</v>
      </c>
      <c r="AG4">
        <v>28.2535499153228</v>
      </c>
      <c r="AH4">
        <v>35.607698389108698</v>
      </c>
      <c r="AI4">
        <v>292.79447895590903</v>
      </c>
      <c r="AJ4">
        <v>0.71389834925034701</v>
      </c>
    </row>
    <row r="5" spans="1:36" x14ac:dyDescent="0.25">
      <c r="A5" t="s">
        <v>40</v>
      </c>
      <c r="B5">
        <v>4</v>
      </c>
      <c r="C5">
        <v>0</v>
      </c>
      <c r="D5">
        <v>0</v>
      </c>
      <c r="E5" t="s">
        <v>37</v>
      </c>
      <c r="F5" t="s">
        <v>37</v>
      </c>
      <c r="G5" t="s">
        <v>37</v>
      </c>
      <c r="H5" t="s">
        <v>37</v>
      </c>
      <c r="I5" t="s">
        <v>37</v>
      </c>
      <c r="J5" t="s">
        <v>37</v>
      </c>
      <c r="K5" t="s">
        <v>37</v>
      </c>
      <c r="L5">
        <v>109050</v>
      </c>
      <c r="M5" t="s">
        <v>37</v>
      </c>
      <c r="N5" t="s">
        <v>37</v>
      </c>
      <c r="O5">
        <v>26.8755697152233</v>
      </c>
      <c r="P5">
        <v>39</v>
      </c>
      <c r="Q5">
        <v>77</v>
      </c>
      <c r="R5">
        <v>154</v>
      </c>
      <c r="S5">
        <v>1864.38054118839</v>
      </c>
      <c r="T5">
        <v>1493.0677433268299</v>
      </c>
      <c r="U5">
        <v>1864.88054118839</v>
      </c>
      <c r="V5">
        <v>555.43225667316005</v>
      </c>
      <c r="W5">
        <v>65563.748389767396</v>
      </c>
      <c r="X5">
        <v>4778.3624261100704</v>
      </c>
      <c r="Y5">
        <v>2480.8948497536699</v>
      </c>
      <c r="Z5">
        <v>26.427459590347901</v>
      </c>
      <c r="AA5">
        <v>1373.1376953125</v>
      </c>
      <c r="AB5">
        <v>13.7209660011371</v>
      </c>
      <c r="AC5">
        <v>1156.06155398184</v>
      </c>
      <c r="AD5">
        <v>46739</v>
      </c>
      <c r="AE5">
        <v>26.8755697152233</v>
      </c>
      <c r="AF5">
        <v>34.154104077195797</v>
      </c>
      <c r="AG5">
        <v>37.277602544224898</v>
      </c>
      <c r="AH5">
        <v>31.030605610166699</v>
      </c>
      <c r="AI5">
        <v>325.93182170014899</v>
      </c>
      <c r="AJ5">
        <v>0.58729470275397899</v>
      </c>
    </row>
    <row r="6" spans="1:36" x14ac:dyDescent="0.25">
      <c r="A6" t="s">
        <v>36</v>
      </c>
      <c r="B6">
        <v>1</v>
      </c>
      <c r="C6">
        <v>0</v>
      </c>
      <c r="D6">
        <v>0</v>
      </c>
      <c r="E6" t="s">
        <v>37</v>
      </c>
      <c r="F6" t="s">
        <v>37</v>
      </c>
      <c r="G6" t="s">
        <v>37</v>
      </c>
      <c r="H6" t="s">
        <v>37</v>
      </c>
      <c r="I6" t="s">
        <v>37</v>
      </c>
      <c r="J6" t="s">
        <v>37</v>
      </c>
      <c r="K6" t="s">
        <v>37</v>
      </c>
      <c r="L6">
        <v>120600</v>
      </c>
      <c r="M6" t="s">
        <v>37</v>
      </c>
      <c r="N6" t="s">
        <v>37</v>
      </c>
      <c r="O6">
        <v>9.4939288296691497</v>
      </c>
      <c r="P6">
        <v>51</v>
      </c>
      <c r="Q6">
        <v>101</v>
      </c>
      <c r="R6">
        <v>202</v>
      </c>
      <c r="S6">
        <v>1646.33747763577</v>
      </c>
      <c r="T6">
        <v>1164.4386011630199</v>
      </c>
      <c r="U6">
        <v>1646.83747763577</v>
      </c>
      <c r="V6">
        <v>884.06139883697494</v>
      </c>
      <c r="W6">
        <v>71868.307422682105</v>
      </c>
      <c r="X6">
        <v>8171.28249198705</v>
      </c>
      <c r="Y6">
        <v>1718.4943279577999</v>
      </c>
      <c r="Z6">
        <v>41.820508949882701</v>
      </c>
      <c r="AA6">
        <v>620.35729980468705</v>
      </c>
      <c r="AB6">
        <v>8.7952298177376491</v>
      </c>
      <c r="AC6">
        <v>319.59777242967198</v>
      </c>
      <c r="AD6">
        <v>79306</v>
      </c>
      <c r="AE6">
        <v>9.4939288296691497</v>
      </c>
      <c r="AF6">
        <v>48.138785232989598</v>
      </c>
      <c r="AG6">
        <v>37.363716125200199</v>
      </c>
      <c r="AH6">
        <v>58.913854340779103</v>
      </c>
      <c r="AI6">
        <v>71.230147994792404</v>
      </c>
      <c r="AJ6">
        <v>0.54835952757954698</v>
      </c>
    </row>
    <row r="7" spans="1:36" x14ac:dyDescent="0.25">
      <c r="A7" t="s">
        <v>38</v>
      </c>
      <c r="B7">
        <v>2</v>
      </c>
      <c r="C7">
        <v>0</v>
      </c>
      <c r="D7">
        <v>0</v>
      </c>
      <c r="E7" t="s">
        <v>37</v>
      </c>
      <c r="F7" t="s">
        <v>37</v>
      </c>
      <c r="G7" t="s">
        <v>37</v>
      </c>
      <c r="H7" t="s">
        <v>37</v>
      </c>
      <c r="I7" t="s">
        <v>37</v>
      </c>
      <c r="J7" t="s">
        <v>37</v>
      </c>
      <c r="K7" t="s">
        <v>37</v>
      </c>
      <c r="L7">
        <v>123600</v>
      </c>
      <c r="M7" t="s">
        <v>37</v>
      </c>
      <c r="N7" t="s">
        <v>37</v>
      </c>
      <c r="O7">
        <v>11.2751597475604</v>
      </c>
      <c r="P7">
        <v>51</v>
      </c>
      <c r="Q7">
        <v>101</v>
      </c>
      <c r="R7">
        <v>202</v>
      </c>
      <c r="S7">
        <v>1645.15770314621</v>
      </c>
      <c r="T7">
        <v>1163.5281884492899</v>
      </c>
      <c r="U7">
        <v>1645.65770314621</v>
      </c>
      <c r="V7">
        <v>884.97181155070098</v>
      </c>
      <c r="W7">
        <v>237991.957561585</v>
      </c>
      <c r="X7">
        <v>8171.28249198705</v>
      </c>
      <c r="Y7">
        <v>2684.85489965024</v>
      </c>
      <c r="Z7">
        <v>88.642390913783998</v>
      </c>
      <c r="AA7">
        <v>1327.92810058593</v>
      </c>
      <c r="AB7">
        <v>29.1254105821167</v>
      </c>
      <c r="AC7">
        <v>772.427487203797</v>
      </c>
      <c r="AD7">
        <v>78384</v>
      </c>
      <c r="AE7">
        <v>11.2751597475604</v>
      </c>
      <c r="AF7">
        <v>45.862846905074598</v>
      </c>
      <c r="AG7">
        <v>37.403644315972301</v>
      </c>
      <c r="AH7">
        <v>54.322049494176902</v>
      </c>
      <c r="AI7">
        <v>74.708447804608994</v>
      </c>
      <c r="AJ7">
        <v>0.64344873143874304</v>
      </c>
    </row>
    <row r="8" spans="1:36" x14ac:dyDescent="0.25">
      <c r="A8" t="s">
        <v>39</v>
      </c>
      <c r="B8">
        <v>3</v>
      </c>
      <c r="C8">
        <v>0</v>
      </c>
      <c r="D8">
        <v>0</v>
      </c>
      <c r="E8" t="s">
        <v>37</v>
      </c>
      <c r="F8" t="s">
        <v>37</v>
      </c>
      <c r="G8" t="s">
        <v>37</v>
      </c>
      <c r="H8" t="s">
        <v>37</v>
      </c>
      <c r="I8" t="s">
        <v>37</v>
      </c>
      <c r="J8" t="s">
        <v>37</v>
      </c>
      <c r="K8" t="s">
        <v>37</v>
      </c>
      <c r="L8">
        <v>153700</v>
      </c>
      <c r="M8" t="s">
        <v>37</v>
      </c>
      <c r="N8" t="s">
        <v>37</v>
      </c>
      <c r="O8">
        <v>6.9299238348319898</v>
      </c>
      <c r="P8">
        <v>51</v>
      </c>
      <c r="Q8">
        <v>101</v>
      </c>
      <c r="R8">
        <v>202</v>
      </c>
      <c r="S8">
        <v>1647.0671414260701</v>
      </c>
      <c r="T8">
        <v>1163.88085917025</v>
      </c>
      <c r="U8">
        <v>1647.5671414260701</v>
      </c>
      <c r="V8">
        <v>884.61914082974499</v>
      </c>
      <c r="W8">
        <v>24958.4052709069</v>
      </c>
      <c r="X8">
        <v>8171.28249198705</v>
      </c>
      <c r="Y8">
        <v>931.56374065539205</v>
      </c>
      <c r="Z8">
        <v>26.791945823640301</v>
      </c>
      <c r="AA8">
        <v>196.00341796875</v>
      </c>
      <c r="AB8">
        <v>3.0544048985433698</v>
      </c>
      <c r="AC8">
        <v>93.746624372845801</v>
      </c>
      <c r="AD8">
        <v>82283</v>
      </c>
      <c r="AE8">
        <v>6.9299238348319898</v>
      </c>
      <c r="AF8">
        <v>49.484592590716403</v>
      </c>
      <c r="AG8">
        <v>36.774864423093</v>
      </c>
      <c r="AH8">
        <v>62.194320758339799</v>
      </c>
      <c r="AI8">
        <v>72.146829311786604</v>
      </c>
      <c r="AJ8">
        <v>0.50511011904737202</v>
      </c>
    </row>
    <row r="9" spans="1:36" x14ac:dyDescent="0.25">
      <c r="A9" t="s">
        <v>40</v>
      </c>
      <c r="B9">
        <v>4</v>
      </c>
      <c r="C9">
        <v>0</v>
      </c>
      <c r="D9">
        <v>0</v>
      </c>
      <c r="E9" t="s">
        <v>37</v>
      </c>
      <c r="F9" t="s">
        <v>37</v>
      </c>
      <c r="G9" t="s">
        <v>37</v>
      </c>
      <c r="H9" t="s">
        <v>37</v>
      </c>
      <c r="I9" t="s">
        <v>37</v>
      </c>
      <c r="J9" t="s">
        <v>37</v>
      </c>
      <c r="K9" t="s">
        <v>37</v>
      </c>
      <c r="L9">
        <v>109050</v>
      </c>
      <c r="M9" t="s">
        <v>37</v>
      </c>
      <c r="N9" t="s">
        <v>37</v>
      </c>
      <c r="O9">
        <v>11.2465286041953</v>
      </c>
      <c r="P9">
        <v>51</v>
      </c>
      <c r="Q9">
        <v>101</v>
      </c>
      <c r="R9">
        <v>202</v>
      </c>
      <c r="S9">
        <v>1645.47405894087</v>
      </c>
      <c r="T9">
        <v>1163.86976865015</v>
      </c>
      <c r="U9">
        <v>1645.97405894087</v>
      </c>
      <c r="V9">
        <v>884.63023134984803</v>
      </c>
      <c r="W9">
        <v>332767.55196061701</v>
      </c>
      <c r="X9">
        <v>8171.28249198705</v>
      </c>
      <c r="Y9">
        <v>3282.58887621231</v>
      </c>
      <c r="Z9">
        <v>101.37350868762699</v>
      </c>
      <c r="AA9">
        <v>2095.76953125</v>
      </c>
      <c r="AB9">
        <v>40.724029830927599</v>
      </c>
      <c r="AC9">
        <v>1156.6699842548301</v>
      </c>
      <c r="AD9">
        <v>77980</v>
      </c>
      <c r="AE9">
        <v>11.2465286041953</v>
      </c>
      <c r="AF9">
        <v>46.752471167086597</v>
      </c>
      <c r="AG9">
        <v>37.690766770597499</v>
      </c>
      <c r="AH9">
        <v>55.814175563575702</v>
      </c>
      <c r="AI9">
        <v>73.459547682367699</v>
      </c>
      <c r="AJ9">
        <v>0.61905760912250196</v>
      </c>
    </row>
    <row r="10" spans="1:36" x14ac:dyDescent="0.25">
      <c r="A10" t="s">
        <v>36</v>
      </c>
      <c r="B10">
        <v>1</v>
      </c>
      <c r="C10">
        <v>0</v>
      </c>
      <c r="D10">
        <v>0</v>
      </c>
      <c r="E10" t="s">
        <v>37</v>
      </c>
      <c r="F10" t="s">
        <v>37</v>
      </c>
      <c r="G10" t="s">
        <v>37</v>
      </c>
      <c r="H10" t="s">
        <v>37</v>
      </c>
      <c r="I10" t="s">
        <v>37</v>
      </c>
      <c r="J10" t="s">
        <v>37</v>
      </c>
      <c r="K10" t="s">
        <v>37</v>
      </c>
      <c r="L10">
        <v>120600</v>
      </c>
      <c r="M10" t="s">
        <v>37</v>
      </c>
      <c r="N10" t="s">
        <v>37</v>
      </c>
      <c r="O10">
        <v>8.96393034571439</v>
      </c>
      <c r="P10">
        <v>22</v>
      </c>
      <c r="Q10">
        <v>43</v>
      </c>
      <c r="R10">
        <v>86</v>
      </c>
      <c r="S10">
        <v>1773.5361346218499</v>
      </c>
      <c r="T10">
        <v>1127.83589199834</v>
      </c>
      <c r="U10">
        <v>1774.0361346218499</v>
      </c>
      <c r="V10">
        <v>920.66410800165102</v>
      </c>
      <c r="W10">
        <v>36315.926860268497</v>
      </c>
      <c r="X10">
        <v>1520.5308443374599</v>
      </c>
      <c r="Y10">
        <v>757.316533885995</v>
      </c>
      <c r="Z10">
        <v>47.953431934097203</v>
      </c>
      <c r="AA10">
        <v>601.11822509765602</v>
      </c>
      <c r="AB10">
        <v>23.883716003204398</v>
      </c>
      <c r="AC10">
        <v>319.54028552118302</v>
      </c>
      <c r="AD10">
        <v>14429</v>
      </c>
      <c r="AE10">
        <v>8.96393034571439</v>
      </c>
      <c r="AF10">
        <v>16.925958371763102</v>
      </c>
      <c r="AG10">
        <v>20.097670203055401</v>
      </c>
      <c r="AH10">
        <v>13.754246540470801</v>
      </c>
      <c r="AI10">
        <v>21.056337873909801</v>
      </c>
      <c r="AJ10">
        <v>0.58653698437360702</v>
      </c>
    </row>
    <row r="11" spans="1:36" x14ac:dyDescent="0.25">
      <c r="A11" t="s">
        <v>38</v>
      </c>
      <c r="B11">
        <v>2</v>
      </c>
      <c r="C11">
        <v>0</v>
      </c>
      <c r="D11">
        <v>0</v>
      </c>
      <c r="E11" t="s">
        <v>37</v>
      </c>
      <c r="F11" t="s">
        <v>37</v>
      </c>
      <c r="G11" t="s">
        <v>37</v>
      </c>
      <c r="H11" t="s">
        <v>37</v>
      </c>
      <c r="I11" t="s">
        <v>37</v>
      </c>
      <c r="J11" t="s">
        <v>37</v>
      </c>
      <c r="K11" t="s">
        <v>37</v>
      </c>
      <c r="L11">
        <v>123600</v>
      </c>
      <c r="M11" t="s">
        <v>37</v>
      </c>
      <c r="N11" t="s">
        <v>37</v>
      </c>
      <c r="O11">
        <v>7.9560346166710199</v>
      </c>
      <c r="P11">
        <v>22</v>
      </c>
      <c r="Q11">
        <v>43</v>
      </c>
      <c r="R11">
        <v>86</v>
      </c>
      <c r="S11">
        <v>1774.7254968719899</v>
      </c>
      <c r="T11">
        <v>1128.0363558046799</v>
      </c>
      <c r="U11">
        <v>1775.2254968719899</v>
      </c>
      <c r="V11">
        <v>920.46364419531403</v>
      </c>
      <c r="W11">
        <v>84534.931470177296</v>
      </c>
      <c r="X11">
        <v>1520.5308443374599</v>
      </c>
      <c r="Y11">
        <v>1174.7393229910399</v>
      </c>
      <c r="Z11">
        <v>71.960587183665695</v>
      </c>
      <c r="AA11">
        <v>1410.88269042968</v>
      </c>
      <c r="AB11">
        <v>55.595670278567503</v>
      </c>
      <c r="AC11">
        <v>771.90709300311903</v>
      </c>
      <c r="AD11">
        <v>14673</v>
      </c>
      <c r="AE11">
        <v>7.9560346166710199</v>
      </c>
      <c r="AF11">
        <v>18.3330660108514</v>
      </c>
      <c r="AG11">
        <v>21.568643276677999</v>
      </c>
      <c r="AH11">
        <v>15.097488745024799</v>
      </c>
      <c r="AI11">
        <v>20.795976736580801</v>
      </c>
      <c r="AJ11">
        <v>0.60993303746906502</v>
      </c>
    </row>
    <row r="12" spans="1:36" x14ac:dyDescent="0.25">
      <c r="A12" t="s">
        <v>39</v>
      </c>
      <c r="B12">
        <v>3</v>
      </c>
      <c r="C12">
        <v>0</v>
      </c>
      <c r="D12">
        <v>0</v>
      </c>
      <c r="E12" t="s">
        <v>37</v>
      </c>
      <c r="F12" t="s">
        <v>37</v>
      </c>
      <c r="G12" t="s">
        <v>37</v>
      </c>
      <c r="H12" t="s">
        <v>37</v>
      </c>
      <c r="I12" t="s">
        <v>37</v>
      </c>
      <c r="J12" t="s">
        <v>37</v>
      </c>
      <c r="K12" t="s">
        <v>37</v>
      </c>
      <c r="L12">
        <v>153700</v>
      </c>
      <c r="M12" t="s">
        <v>37</v>
      </c>
      <c r="N12" t="s">
        <v>37</v>
      </c>
      <c r="O12">
        <v>13.0753757502056</v>
      </c>
      <c r="P12">
        <v>22</v>
      </c>
      <c r="Q12">
        <v>43</v>
      </c>
      <c r="R12">
        <v>86</v>
      </c>
      <c r="S12">
        <v>1772.0976715556401</v>
      </c>
      <c r="T12">
        <v>1127.16096286164</v>
      </c>
      <c r="U12">
        <v>1772.5976715556401</v>
      </c>
      <c r="V12">
        <v>921.33903713835196</v>
      </c>
      <c r="W12">
        <v>12068.142565464999</v>
      </c>
      <c r="X12">
        <v>1520.5308443374599</v>
      </c>
      <c r="Y12">
        <v>411.64968215466803</v>
      </c>
      <c r="Z12">
        <v>29.316535609350101</v>
      </c>
      <c r="AA12">
        <v>176.48849487304599</v>
      </c>
      <c r="AB12">
        <v>7.93679563318788</v>
      </c>
      <c r="AC12">
        <v>93.702468598997498</v>
      </c>
      <c r="AD12">
        <v>14668</v>
      </c>
      <c r="AE12">
        <v>13.0753757502056</v>
      </c>
      <c r="AF12">
        <v>17.776054308875398</v>
      </c>
      <c r="AG12">
        <v>20.506411411391898</v>
      </c>
      <c r="AH12">
        <v>15.0456972063589</v>
      </c>
      <c r="AI12">
        <v>20.3962398966877</v>
      </c>
      <c r="AJ12">
        <v>0.65745254778731299</v>
      </c>
    </row>
    <row r="13" spans="1:36" x14ac:dyDescent="0.25">
      <c r="A13" t="s">
        <v>40</v>
      </c>
      <c r="B13">
        <v>4</v>
      </c>
      <c r="C13">
        <v>0</v>
      </c>
      <c r="D13">
        <v>0</v>
      </c>
      <c r="E13" t="s">
        <v>37</v>
      </c>
      <c r="F13" t="s">
        <v>37</v>
      </c>
      <c r="G13" t="s">
        <v>37</v>
      </c>
      <c r="H13" t="s">
        <v>37</v>
      </c>
      <c r="I13" t="s">
        <v>37</v>
      </c>
      <c r="J13" t="s">
        <v>37</v>
      </c>
      <c r="K13" t="s">
        <v>37</v>
      </c>
      <c r="L13">
        <v>109050</v>
      </c>
      <c r="M13" t="s">
        <v>37</v>
      </c>
      <c r="N13" t="s">
        <v>37</v>
      </c>
      <c r="O13">
        <v>7.6995272387988898</v>
      </c>
      <c r="P13">
        <v>22</v>
      </c>
      <c r="Q13">
        <v>43</v>
      </c>
      <c r="R13">
        <v>86</v>
      </c>
      <c r="S13">
        <v>1774.29444309785</v>
      </c>
      <c r="T13">
        <v>1127.8729497033901</v>
      </c>
      <c r="U13">
        <v>1774.79444309785</v>
      </c>
      <c r="V13">
        <v>920.62705029660594</v>
      </c>
      <c r="W13">
        <v>145996.73683700801</v>
      </c>
      <c r="X13">
        <v>1520.5308443374599</v>
      </c>
      <c r="Y13">
        <v>1445.84663321892</v>
      </c>
      <c r="Z13">
        <v>100.976641285924</v>
      </c>
      <c r="AA13">
        <v>2364.30322265625</v>
      </c>
      <c r="AB13">
        <v>96.016951830150703</v>
      </c>
      <c r="AC13">
        <v>1156.3709811507299</v>
      </c>
      <c r="AD13">
        <v>14371</v>
      </c>
      <c r="AE13">
        <v>7.6995272387988898</v>
      </c>
      <c r="AF13">
        <v>17.5792961935249</v>
      </c>
      <c r="AG13">
        <v>20.891474141220598</v>
      </c>
      <c r="AH13">
        <v>14.2671182458293</v>
      </c>
      <c r="AI13">
        <v>20.170055637458901</v>
      </c>
      <c r="AJ13">
        <v>0.59472446203948903</v>
      </c>
    </row>
    <row r="14" spans="1:36" x14ac:dyDescent="0.25">
      <c r="A14" t="s">
        <v>36</v>
      </c>
      <c r="B14">
        <v>1</v>
      </c>
      <c r="C14">
        <v>0</v>
      </c>
      <c r="D14">
        <v>0</v>
      </c>
      <c r="E14" t="s">
        <v>37</v>
      </c>
      <c r="F14" t="s">
        <v>37</v>
      </c>
      <c r="G14" t="s">
        <v>37</v>
      </c>
      <c r="H14" t="s">
        <v>37</v>
      </c>
      <c r="I14" t="s">
        <v>37</v>
      </c>
      <c r="J14" t="s">
        <v>37</v>
      </c>
      <c r="K14" t="s">
        <v>37</v>
      </c>
      <c r="L14">
        <v>120600</v>
      </c>
      <c r="M14" t="s">
        <v>37</v>
      </c>
      <c r="N14" t="s">
        <v>37</v>
      </c>
      <c r="O14">
        <v>20.243142472415901</v>
      </c>
      <c r="P14">
        <v>68</v>
      </c>
      <c r="Q14">
        <v>135</v>
      </c>
      <c r="R14">
        <v>270</v>
      </c>
      <c r="S14">
        <v>1805.0179593205701</v>
      </c>
      <c r="T14">
        <v>897.57821158789704</v>
      </c>
      <c r="U14">
        <v>1805.5179593205701</v>
      </c>
      <c r="V14">
        <v>1150.9217884121001</v>
      </c>
      <c r="W14">
        <v>71021.602087216394</v>
      </c>
      <c r="X14">
        <v>14526.7244301992</v>
      </c>
      <c r="Y14">
        <v>2281.78397026323</v>
      </c>
      <c r="Z14">
        <v>31.125471566452902</v>
      </c>
      <c r="AA14">
        <v>410.77886962890602</v>
      </c>
      <c r="AB14">
        <v>4.8890307259888202</v>
      </c>
      <c r="AC14">
        <v>319.429261873511</v>
      </c>
      <c r="AD14">
        <v>136477</v>
      </c>
      <c r="AE14">
        <v>20.243142472415901</v>
      </c>
      <c r="AF14">
        <v>58.719340840463197</v>
      </c>
      <c r="AG14">
        <v>65.484122765648806</v>
      </c>
      <c r="AH14">
        <v>51.954558915277602</v>
      </c>
      <c r="AI14">
        <v>16.883047733362499</v>
      </c>
      <c r="AJ14">
        <v>0.75527008331115397</v>
      </c>
    </row>
    <row r="15" spans="1:36" x14ac:dyDescent="0.25">
      <c r="A15" t="s">
        <v>38</v>
      </c>
      <c r="B15">
        <v>2</v>
      </c>
      <c r="C15">
        <v>0</v>
      </c>
      <c r="D15">
        <v>0</v>
      </c>
      <c r="E15" t="s">
        <v>37</v>
      </c>
      <c r="F15" t="s">
        <v>37</v>
      </c>
      <c r="G15" t="s">
        <v>37</v>
      </c>
      <c r="H15" t="s">
        <v>37</v>
      </c>
      <c r="I15" t="s">
        <v>37</v>
      </c>
      <c r="J15" t="s">
        <v>37</v>
      </c>
      <c r="K15" t="s">
        <v>37</v>
      </c>
      <c r="L15">
        <v>123600</v>
      </c>
      <c r="M15" t="s">
        <v>37</v>
      </c>
      <c r="N15" t="s">
        <v>37</v>
      </c>
      <c r="O15">
        <v>10.3242797760066</v>
      </c>
      <c r="P15">
        <v>68</v>
      </c>
      <c r="Q15">
        <v>135</v>
      </c>
      <c r="R15">
        <v>270</v>
      </c>
      <c r="S15">
        <v>1805.2576169320801</v>
      </c>
      <c r="T15">
        <v>895.33847684384398</v>
      </c>
      <c r="U15">
        <v>1805.7576169320801</v>
      </c>
      <c r="V15">
        <v>1153.16152315615</v>
      </c>
      <c r="W15">
        <v>260553.81484537499</v>
      </c>
      <c r="X15">
        <v>14526.7244301992</v>
      </c>
      <c r="Y15">
        <v>3561.7444256990102</v>
      </c>
      <c r="Z15">
        <v>73.153428125107695</v>
      </c>
      <c r="AA15">
        <v>1187.58703613281</v>
      </c>
      <c r="AB15">
        <v>17.936171096060502</v>
      </c>
      <c r="AC15">
        <v>771.79233901957195</v>
      </c>
      <c r="AD15">
        <v>134323</v>
      </c>
      <c r="AE15">
        <v>10.3242797760066</v>
      </c>
      <c r="AF15">
        <v>54.517996461853897</v>
      </c>
      <c r="AG15">
        <v>60.167794287662602</v>
      </c>
      <c r="AH15">
        <v>48.8681986360452</v>
      </c>
      <c r="AI15">
        <v>14.23083125954</v>
      </c>
      <c r="AJ15">
        <v>0.78849667023209502</v>
      </c>
    </row>
    <row r="16" spans="1:36" x14ac:dyDescent="0.25">
      <c r="A16" t="s">
        <v>39</v>
      </c>
      <c r="B16">
        <v>3</v>
      </c>
      <c r="C16">
        <v>0</v>
      </c>
      <c r="D16">
        <v>0</v>
      </c>
      <c r="E16" t="s">
        <v>37</v>
      </c>
      <c r="F16" t="s">
        <v>37</v>
      </c>
      <c r="G16" t="s">
        <v>37</v>
      </c>
      <c r="H16" t="s">
        <v>37</v>
      </c>
      <c r="I16" t="s">
        <v>37</v>
      </c>
      <c r="J16" t="s">
        <v>37</v>
      </c>
      <c r="K16" t="s">
        <v>37</v>
      </c>
      <c r="L16">
        <v>153700</v>
      </c>
      <c r="M16" t="s">
        <v>37</v>
      </c>
      <c r="N16" t="s">
        <v>37</v>
      </c>
      <c r="O16">
        <v>45.230583416444802</v>
      </c>
      <c r="P16">
        <v>68</v>
      </c>
      <c r="Q16">
        <v>135</v>
      </c>
      <c r="R16">
        <v>270</v>
      </c>
      <c r="S16">
        <v>1806.65668090383</v>
      </c>
      <c r="T16">
        <v>898.26731212904895</v>
      </c>
      <c r="U16">
        <v>1807.15668090383</v>
      </c>
      <c r="V16">
        <v>1150.23268787095</v>
      </c>
      <c r="W16">
        <v>19014.870996014899</v>
      </c>
      <c r="X16">
        <v>14526.7244301992</v>
      </c>
      <c r="Y16">
        <v>1235.19057524955</v>
      </c>
      <c r="Z16">
        <v>15.394281155499501</v>
      </c>
      <c r="AA16">
        <v>117.382446289062</v>
      </c>
      <c r="AB16">
        <v>1.3089579200996899</v>
      </c>
      <c r="AC16">
        <v>93.620165660715102</v>
      </c>
      <c r="AD16">
        <v>135928</v>
      </c>
      <c r="AE16">
        <v>45.230583416444802</v>
      </c>
      <c r="AF16">
        <v>61.868177530627797</v>
      </c>
      <c r="AG16">
        <v>67.963238476859701</v>
      </c>
      <c r="AH16">
        <v>55.773116584396</v>
      </c>
      <c r="AI16">
        <v>12.374792673012401</v>
      </c>
      <c r="AJ16">
        <v>0.80390112274866699</v>
      </c>
    </row>
    <row r="17" spans="1:36" x14ac:dyDescent="0.25">
      <c r="A17" t="s">
        <v>40</v>
      </c>
      <c r="B17">
        <v>4</v>
      </c>
      <c r="C17">
        <v>0</v>
      </c>
      <c r="D17">
        <v>0</v>
      </c>
      <c r="E17" t="s">
        <v>37</v>
      </c>
      <c r="F17" t="s">
        <v>37</v>
      </c>
      <c r="G17" t="s">
        <v>37</v>
      </c>
      <c r="H17" t="s">
        <v>37</v>
      </c>
      <c r="I17" t="s">
        <v>37</v>
      </c>
      <c r="J17" t="s">
        <v>37</v>
      </c>
      <c r="K17" t="s">
        <v>37</v>
      </c>
      <c r="L17">
        <v>109050</v>
      </c>
      <c r="M17" t="s">
        <v>37</v>
      </c>
      <c r="N17" t="s">
        <v>37</v>
      </c>
      <c r="O17">
        <v>11.660536043791</v>
      </c>
      <c r="P17">
        <v>68</v>
      </c>
      <c r="Q17">
        <v>135</v>
      </c>
      <c r="R17">
        <v>270</v>
      </c>
      <c r="S17">
        <v>1805.1679704451301</v>
      </c>
      <c r="T17">
        <v>895.96609694734104</v>
      </c>
      <c r="U17">
        <v>1805.6679704451301</v>
      </c>
      <c r="V17">
        <v>1152.53390305265</v>
      </c>
      <c r="W17">
        <v>373929.53212855302</v>
      </c>
      <c r="X17">
        <v>14526.7244301992</v>
      </c>
      <c r="Y17">
        <v>4357.3117943157804</v>
      </c>
      <c r="Z17">
        <v>85.816565299814698</v>
      </c>
      <c r="AA17">
        <v>1710.609375</v>
      </c>
      <c r="AB17">
        <v>25.740801646323099</v>
      </c>
      <c r="AC17">
        <v>1155.9606955480201</v>
      </c>
      <c r="AD17">
        <v>134137</v>
      </c>
      <c r="AE17">
        <v>11.660536043791</v>
      </c>
      <c r="AF17">
        <v>57.781320295971298</v>
      </c>
      <c r="AG17">
        <v>63.667138782290401</v>
      </c>
      <c r="AH17">
        <v>51.895501809652103</v>
      </c>
      <c r="AI17">
        <v>15.1686495744329</v>
      </c>
      <c r="AJ17">
        <v>0.78818554525764195</v>
      </c>
    </row>
    <row r="18" spans="1:36" x14ac:dyDescent="0.25">
      <c r="A18" t="s">
        <v>36</v>
      </c>
      <c r="B18">
        <v>1</v>
      </c>
      <c r="C18">
        <v>0</v>
      </c>
      <c r="D18">
        <v>0</v>
      </c>
      <c r="E18" t="s">
        <v>37</v>
      </c>
      <c r="F18" t="s">
        <v>37</v>
      </c>
      <c r="G18" t="s">
        <v>37</v>
      </c>
      <c r="H18" t="s">
        <v>37</v>
      </c>
      <c r="I18" t="s">
        <v>37</v>
      </c>
      <c r="J18" t="s">
        <v>37</v>
      </c>
      <c r="K18" t="s">
        <v>37</v>
      </c>
      <c r="L18">
        <v>120600</v>
      </c>
      <c r="M18" t="s">
        <v>37</v>
      </c>
      <c r="N18" t="s">
        <v>37</v>
      </c>
      <c r="O18">
        <v>7.07742761215348</v>
      </c>
      <c r="P18">
        <v>39</v>
      </c>
      <c r="Q18">
        <v>78</v>
      </c>
      <c r="R18">
        <v>155</v>
      </c>
      <c r="S18">
        <v>1039.29488887201</v>
      </c>
      <c r="T18">
        <v>1272.8418212143199</v>
      </c>
      <c r="U18">
        <v>1039.79488887201</v>
      </c>
      <c r="V18">
        <v>775.65817878567395</v>
      </c>
      <c r="W18">
        <v>51056.717407164797</v>
      </c>
      <c r="X18">
        <v>4778.3624261100704</v>
      </c>
      <c r="Y18">
        <v>1314.31965282331</v>
      </c>
      <c r="Z18">
        <v>38.846499249622397</v>
      </c>
      <c r="AA18">
        <v>465.94152832031199</v>
      </c>
      <c r="AB18">
        <v>10.684982187240299</v>
      </c>
      <c r="AC18">
        <v>319.41260803023403</v>
      </c>
      <c r="AD18">
        <v>48727</v>
      </c>
      <c r="AE18">
        <v>7.07742761215348</v>
      </c>
      <c r="AF18">
        <v>35.299886334510298</v>
      </c>
      <c r="AG18">
        <v>35.071293692676498</v>
      </c>
      <c r="AH18">
        <v>35.528478976343997</v>
      </c>
      <c r="AI18">
        <v>313.06032840013</v>
      </c>
      <c r="AJ18">
        <v>0.82381012303836498</v>
      </c>
    </row>
    <row r="19" spans="1:36" x14ac:dyDescent="0.25">
      <c r="A19" t="s">
        <v>38</v>
      </c>
      <c r="B19">
        <v>2</v>
      </c>
      <c r="C19">
        <v>0</v>
      </c>
      <c r="D19">
        <v>0</v>
      </c>
      <c r="E19" t="s">
        <v>37</v>
      </c>
      <c r="F19" t="s">
        <v>37</v>
      </c>
      <c r="G19" t="s">
        <v>37</v>
      </c>
      <c r="H19" t="s">
        <v>37</v>
      </c>
      <c r="I19" t="s">
        <v>37</v>
      </c>
      <c r="J19" t="s">
        <v>37</v>
      </c>
      <c r="K19" t="s">
        <v>37</v>
      </c>
      <c r="L19">
        <v>123600</v>
      </c>
      <c r="M19" t="s">
        <v>37</v>
      </c>
      <c r="N19" t="s">
        <v>37</v>
      </c>
      <c r="O19">
        <v>6.89339845013071</v>
      </c>
      <c r="P19">
        <v>39</v>
      </c>
      <c r="Q19">
        <v>78</v>
      </c>
      <c r="R19">
        <v>155</v>
      </c>
      <c r="S19">
        <v>1040.0635433611401</v>
      </c>
      <c r="T19">
        <v>1273.78496626797</v>
      </c>
      <c r="U19">
        <v>1040.5635433611401</v>
      </c>
      <c r="V19">
        <v>774.71503373202199</v>
      </c>
      <c r="W19">
        <v>356954.95367660897</v>
      </c>
      <c r="X19">
        <v>4778.3624261100704</v>
      </c>
      <c r="Y19">
        <v>2102.48839792125</v>
      </c>
      <c r="Z19">
        <v>169.777371437357</v>
      </c>
      <c r="AA19">
        <v>1934.974609375</v>
      </c>
      <c r="AB19">
        <v>74.702360734741504</v>
      </c>
      <c r="AC19">
        <v>772.20225496480202</v>
      </c>
      <c r="AD19">
        <v>47244</v>
      </c>
      <c r="AE19">
        <v>6.89339845013071</v>
      </c>
      <c r="AF19">
        <v>35.658703153000403</v>
      </c>
      <c r="AG19">
        <v>35.321704348206701</v>
      </c>
      <c r="AH19">
        <v>35.995701957794097</v>
      </c>
      <c r="AI19">
        <v>311.99066455060898</v>
      </c>
      <c r="AJ19">
        <v>0.83340048177594905</v>
      </c>
    </row>
    <row r="20" spans="1:36" x14ac:dyDescent="0.25">
      <c r="A20" t="s">
        <v>39</v>
      </c>
      <c r="B20">
        <v>3</v>
      </c>
      <c r="C20">
        <v>0</v>
      </c>
      <c r="D20">
        <v>0</v>
      </c>
      <c r="E20" t="s">
        <v>37</v>
      </c>
      <c r="F20" t="s">
        <v>37</v>
      </c>
      <c r="G20" t="s">
        <v>37</v>
      </c>
      <c r="H20" t="s">
        <v>37</v>
      </c>
      <c r="I20" t="s">
        <v>37</v>
      </c>
      <c r="J20" t="s">
        <v>37</v>
      </c>
      <c r="K20" t="s">
        <v>37</v>
      </c>
      <c r="L20">
        <v>153700</v>
      </c>
      <c r="M20" t="s">
        <v>37</v>
      </c>
      <c r="N20" t="s">
        <v>37</v>
      </c>
      <c r="O20">
        <v>31.0887985237678</v>
      </c>
      <c r="P20">
        <v>39</v>
      </c>
      <c r="Q20">
        <v>78</v>
      </c>
      <c r="R20">
        <v>155</v>
      </c>
      <c r="S20">
        <v>1038.3520570104199</v>
      </c>
      <c r="T20">
        <v>1271.18661983073</v>
      </c>
      <c r="U20">
        <v>1038.8520570104199</v>
      </c>
      <c r="V20">
        <v>777.313380169266</v>
      </c>
      <c r="W20">
        <v>11206.551155237799</v>
      </c>
      <c r="X20">
        <v>4778.3624261100704</v>
      </c>
      <c r="Y20">
        <v>708.02950472079897</v>
      </c>
      <c r="Z20">
        <v>15.827802486362399</v>
      </c>
      <c r="AA20">
        <v>115.21579742431599</v>
      </c>
      <c r="AB20">
        <v>2.34527023191096</v>
      </c>
      <c r="AC20">
        <v>93.060997126369301</v>
      </c>
      <c r="AD20">
        <v>47239</v>
      </c>
      <c r="AE20">
        <v>31.0887985237678</v>
      </c>
      <c r="AF20">
        <v>38.445294664616199</v>
      </c>
      <c r="AG20">
        <v>37.988181212301697</v>
      </c>
      <c r="AH20">
        <v>38.902408116930602</v>
      </c>
      <c r="AI20">
        <v>311.73481225772201</v>
      </c>
      <c r="AJ20">
        <v>0.80881099371033904</v>
      </c>
    </row>
    <row r="21" spans="1:36" x14ac:dyDescent="0.25">
      <c r="A21" t="s">
        <v>40</v>
      </c>
      <c r="B21">
        <v>4</v>
      </c>
      <c r="C21">
        <v>0</v>
      </c>
      <c r="D21">
        <v>0</v>
      </c>
      <c r="E21" t="s">
        <v>37</v>
      </c>
      <c r="F21" t="s">
        <v>37</v>
      </c>
      <c r="G21" t="s">
        <v>37</v>
      </c>
      <c r="H21" t="s">
        <v>37</v>
      </c>
      <c r="I21" t="s">
        <v>37</v>
      </c>
      <c r="J21" t="s">
        <v>37</v>
      </c>
      <c r="K21" t="s">
        <v>37</v>
      </c>
      <c r="L21">
        <v>109050</v>
      </c>
      <c r="M21" t="s">
        <v>37</v>
      </c>
      <c r="N21" t="s">
        <v>37</v>
      </c>
      <c r="O21">
        <v>6.00809147976587</v>
      </c>
      <c r="P21">
        <v>39</v>
      </c>
      <c r="Q21">
        <v>78</v>
      </c>
      <c r="R21">
        <v>155</v>
      </c>
      <c r="S21">
        <v>1039.78559728666</v>
      </c>
      <c r="T21">
        <v>1273.26275362868</v>
      </c>
      <c r="U21">
        <v>1040.28559728666</v>
      </c>
      <c r="V21">
        <v>775.23724637131204</v>
      </c>
      <c r="W21">
        <v>298517.55110891402</v>
      </c>
      <c r="X21">
        <v>4778.3624261100704</v>
      </c>
      <c r="Y21">
        <v>2527.3829980711698</v>
      </c>
      <c r="Z21">
        <v>118.11330191614501</v>
      </c>
      <c r="AA21">
        <v>2081.96020507812</v>
      </c>
      <c r="AB21">
        <v>62.472772989705703</v>
      </c>
      <c r="AC21">
        <v>1156.51705165663</v>
      </c>
      <c r="AD21">
        <v>46949</v>
      </c>
      <c r="AE21">
        <v>6.00809147976587</v>
      </c>
      <c r="AF21">
        <v>35.637307409682798</v>
      </c>
      <c r="AG21">
        <v>35.342790926791501</v>
      </c>
      <c r="AH21">
        <v>35.931823892574101</v>
      </c>
      <c r="AI21">
        <v>312.46768656038603</v>
      </c>
      <c r="AJ21">
        <v>0.82741258702454301</v>
      </c>
    </row>
    <row r="22" spans="1:36" x14ac:dyDescent="0.25">
      <c r="A22" t="s">
        <v>36</v>
      </c>
      <c r="B22">
        <v>1</v>
      </c>
      <c r="C22">
        <v>0</v>
      </c>
      <c r="D22">
        <v>0</v>
      </c>
      <c r="E22" t="s">
        <v>37</v>
      </c>
      <c r="F22" t="s">
        <v>37</v>
      </c>
      <c r="G22" t="s">
        <v>37</v>
      </c>
      <c r="H22" t="s">
        <v>37</v>
      </c>
      <c r="I22" t="s">
        <v>37</v>
      </c>
      <c r="J22" t="s">
        <v>37</v>
      </c>
      <c r="K22" t="s">
        <v>37</v>
      </c>
      <c r="L22">
        <v>120600</v>
      </c>
      <c r="M22" t="s">
        <v>37</v>
      </c>
      <c r="N22" t="s">
        <v>37</v>
      </c>
      <c r="O22">
        <v>4.82272263461007</v>
      </c>
      <c r="P22">
        <v>27</v>
      </c>
      <c r="Q22">
        <v>54</v>
      </c>
      <c r="R22">
        <v>107</v>
      </c>
      <c r="S22">
        <v>372.64013943815701</v>
      </c>
      <c r="T22">
        <v>168.77050048161399</v>
      </c>
      <c r="U22">
        <v>373.14013943815701</v>
      </c>
      <c r="V22">
        <v>1879.72949951838</v>
      </c>
      <c r="W22">
        <v>6992.4960453010799</v>
      </c>
      <c r="X22">
        <v>2290.2210444669499</v>
      </c>
      <c r="Y22">
        <v>902.53774998071594</v>
      </c>
      <c r="Z22">
        <v>7.7475939875650504</v>
      </c>
      <c r="AA22">
        <v>520.63519287109295</v>
      </c>
      <c r="AB22">
        <v>3.0531970100416901</v>
      </c>
      <c r="AC22">
        <v>319.41925480886499</v>
      </c>
      <c r="AD22">
        <v>22094</v>
      </c>
      <c r="AE22">
        <v>4.82272263461007</v>
      </c>
      <c r="AF22">
        <v>14.9245933967897</v>
      </c>
      <c r="AG22">
        <v>10.563668736493</v>
      </c>
      <c r="AH22">
        <v>19.2855180570863</v>
      </c>
      <c r="AI22">
        <v>81.466531713644002</v>
      </c>
      <c r="AJ22">
        <v>0.52858724130420298</v>
      </c>
    </row>
    <row r="23" spans="1:36" x14ac:dyDescent="0.25">
      <c r="A23" t="s">
        <v>38</v>
      </c>
      <c r="B23">
        <v>2</v>
      </c>
      <c r="C23">
        <v>0</v>
      </c>
      <c r="D23">
        <v>0</v>
      </c>
      <c r="E23" t="s">
        <v>37</v>
      </c>
      <c r="F23" t="s">
        <v>37</v>
      </c>
      <c r="G23" t="s">
        <v>37</v>
      </c>
      <c r="H23" t="s">
        <v>37</v>
      </c>
      <c r="I23" t="s">
        <v>37</v>
      </c>
      <c r="J23" t="s">
        <v>37</v>
      </c>
      <c r="K23" t="s">
        <v>37</v>
      </c>
      <c r="L23">
        <v>123600</v>
      </c>
      <c r="M23" t="s">
        <v>37</v>
      </c>
      <c r="N23" t="s">
        <v>37</v>
      </c>
      <c r="O23">
        <v>5.4815357739425101</v>
      </c>
      <c r="P23">
        <v>27</v>
      </c>
      <c r="Q23">
        <v>54</v>
      </c>
      <c r="R23">
        <v>107</v>
      </c>
      <c r="S23">
        <v>372.71808844013702</v>
      </c>
      <c r="T23">
        <v>169.13286724001199</v>
      </c>
      <c r="U23">
        <v>373.21808844013702</v>
      </c>
      <c r="V23">
        <v>1879.36713275998</v>
      </c>
      <c r="W23">
        <v>13299.763036391199</v>
      </c>
      <c r="X23">
        <v>2290.2210444669499</v>
      </c>
      <c r="Y23">
        <v>1402.1349844578399</v>
      </c>
      <c r="Z23">
        <v>9.4853656629456307</v>
      </c>
      <c r="AA23">
        <v>1047.68237304687</v>
      </c>
      <c r="AB23">
        <v>5.8071962392113496</v>
      </c>
      <c r="AC23">
        <v>771.84210355792504</v>
      </c>
      <c r="AD23">
        <v>21909</v>
      </c>
      <c r="AE23">
        <v>5.4815357739425101</v>
      </c>
      <c r="AF23">
        <v>14.088256753669899</v>
      </c>
      <c r="AG23">
        <v>10.9367237863596</v>
      </c>
      <c r="AH23">
        <v>17.239789720980301</v>
      </c>
      <c r="AI23">
        <v>78.565038049844404</v>
      </c>
      <c r="AJ23">
        <v>0.60629029068431195</v>
      </c>
    </row>
    <row r="24" spans="1:36" x14ac:dyDescent="0.25">
      <c r="A24" t="s">
        <v>39</v>
      </c>
      <c r="B24">
        <v>3</v>
      </c>
      <c r="C24">
        <v>0</v>
      </c>
      <c r="D24">
        <v>0</v>
      </c>
      <c r="E24" t="s">
        <v>37</v>
      </c>
      <c r="F24" t="s">
        <v>37</v>
      </c>
      <c r="G24" t="s">
        <v>37</v>
      </c>
      <c r="H24" t="s">
        <v>37</v>
      </c>
      <c r="I24" t="s">
        <v>37</v>
      </c>
      <c r="J24" t="s">
        <v>37</v>
      </c>
      <c r="K24" t="s">
        <v>37</v>
      </c>
      <c r="L24">
        <v>153700</v>
      </c>
      <c r="M24" t="s">
        <v>37</v>
      </c>
      <c r="N24" t="s">
        <v>37</v>
      </c>
      <c r="O24">
        <v>4.9592659608715497</v>
      </c>
      <c r="P24">
        <v>27</v>
      </c>
      <c r="Q24">
        <v>54</v>
      </c>
      <c r="R24">
        <v>107</v>
      </c>
      <c r="S24">
        <v>372.24895861168301</v>
      </c>
      <c r="T24">
        <v>168.34618750395899</v>
      </c>
      <c r="U24">
        <v>372.74895861168301</v>
      </c>
      <c r="V24">
        <v>1880.15381249604</v>
      </c>
      <c r="W24">
        <v>2682.6582496567798</v>
      </c>
      <c r="X24">
        <v>2290.2210444669499</v>
      </c>
      <c r="Y24">
        <v>486.95981397553601</v>
      </c>
      <c r="Z24">
        <v>5.5089930886813399</v>
      </c>
      <c r="AA24">
        <v>163.10565185546801</v>
      </c>
      <c r="AB24">
        <v>1.1713534185435599</v>
      </c>
      <c r="AC24">
        <v>92.722346566127399</v>
      </c>
      <c r="AD24">
        <v>22226</v>
      </c>
      <c r="AE24">
        <v>4.9592659608715497</v>
      </c>
      <c r="AF24">
        <v>9.9862613202941404</v>
      </c>
      <c r="AG24">
        <v>2.4447714011939601</v>
      </c>
      <c r="AH24">
        <v>17.527751239394298</v>
      </c>
      <c r="AI24">
        <v>270.91961306252801</v>
      </c>
      <c r="AJ24">
        <v>0.13847847065879901</v>
      </c>
    </row>
    <row r="25" spans="1:36" x14ac:dyDescent="0.25">
      <c r="A25" t="s">
        <v>40</v>
      </c>
      <c r="B25">
        <v>4</v>
      </c>
      <c r="C25">
        <v>0</v>
      </c>
      <c r="D25">
        <v>0</v>
      </c>
      <c r="E25" t="s">
        <v>37</v>
      </c>
      <c r="F25" t="s">
        <v>37</v>
      </c>
      <c r="G25" t="s">
        <v>37</v>
      </c>
      <c r="H25" t="s">
        <v>37</v>
      </c>
      <c r="I25" t="s">
        <v>37</v>
      </c>
      <c r="J25" t="s">
        <v>37</v>
      </c>
      <c r="K25" t="s">
        <v>37</v>
      </c>
      <c r="L25">
        <v>109050</v>
      </c>
      <c r="M25" t="s">
        <v>37</v>
      </c>
      <c r="N25" t="s">
        <v>37</v>
      </c>
      <c r="O25">
        <v>4.5141043606114302</v>
      </c>
      <c r="P25">
        <v>27</v>
      </c>
      <c r="Q25">
        <v>54</v>
      </c>
      <c r="R25">
        <v>107</v>
      </c>
      <c r="S25">
        <v>372.70107413919698</v>
      </c>
      <c r="T25">
        <v>168.79546441904401</v>
      </c>
      <c r="U25">
        <v>373.20107413919698</v>
      </c>
      <c r="V25">
        <v>1879.7045355809501</v>
      </c>
      <c r="W25">
        <v>18296.037233216201</v>
      </c>
      <c r="X25">
        <v>2290.2210444669499</v>
      </c>
      <c r="Y25">
        <v>1714.91141279917</v>
      </c>
      <c r="Z25">
        <v>10.668794374254199</v>
      </c>
      <c r="AA25">
        <v>1708.43737792968</v>
      </c>
      <c r="AB25">
        <v>7.9887647864464304</v>
      </c>
      <c r="AC25">
        <v>1155.4049096696299</v>
      </c>
      <c r="AD25">
        <v>21935</v>
      </c>
      <c r="AE25">
        <v>4.5141043606114302</v>
      </c>
      <c r="AF25">
        <v>14.760131145793901</v>
      </c>
      <c r="AG25">
        <v>11.1075282331942</v>
      </c>
      <c r="AH25">
        <v>18.412734058393699</v>
      </c>
      <c r="AI25">
        <v>73.639020213833305</v>
      </c>
      <c r="AJ25">
        <v>0.53546195239468097</v>
      </c>
    </row>
    <row r="26" spans="1:36" x14ac:dyDescent="0.25">
      <c r="A26" t="s">
        <v>36</v>
      </c>
      <c r="B26">
        <v>1</v>
      </c>
      <c r="C26">
        <v>0</v>
      </c>
      <c r="D26">
        <v>0</v>
      </c>
      <c r="E26" t="s">
        <v>37</v>
      </c>
      <c r="F26" t="s">
        <v>37</v>
      </c>
      <c r="G26" t="s">
        <v>37</v>
      </c>
      <c r="H26" t="s">
        <v>37</v>
      </c>
      <c r="I26" t="s">
        <v>37</v>
      </c>
      <c r="J26" t="s">
        <v>37</v>
      </c>
      <c r="K26" t="s">
        <v>37</v>
      </c>
      <c r="L26">
        <v>120600</v>
      </c>
      <c r="M26" t="s">
        <v>37</v>
      </c>
      <c r="N26" t="s">
        <v>37</v>
      </c>
      <c r="O26">
        <v>7.1953920654156498</v>
      </c>
      <c r="P26">
        <v>17</v>
      </c>
      <c r="Q26">
        <v>33</v>
      </c>
      <c r="R26">
        <v>66</v>
      </c>
      <c r="S26">
        <v>1351.5037243303</v>
      </c>
      <c r="T26">
        <v>46.261008243402699</v>
      </c>
      <c r="U26">
        <v>1352.0037243303</v>
      </c>
      <c r="V26">
        <v>2002.2389917565899</v>
      </c>
      <c r="W26">
        <v>16901.8406320295</v>
      </c>
      <c r="X26">
        <v>907.92027688744997</v>
      </c>
      <c r="Y26">
        <v>592.17716832767906</v>
      </c>
      <c r="Z26">
        <v>28.541864725654101</v>
      </c>
      <c r="AA26">
        <v>517.38903808593705</v>
      </c>
      <c r="AB26">
        <v>18.6159964286432</v>
      </c>
      <c r="AC26">
        <v>319.63778782709198</v>
      </c>
      <c r="AD26">
        <v>6060</v>
      </c>
      <c r="AE26">
        <v>7.1953920654156498</v>
      </c>
      <c r="AF26">
        <v>13.0796461673482</v>
      </c>
      <c r="AG26">
        <v>13.797734108337799</v>
      </c>
      <c r="AH26">
        <v>12.3615582263586</v>
      </c>
      <c r="AI26">
        <v>352.56713956872198</v>
      </c>
      <c r="AJ26">
        <v>0.89247976658565897</v>
      </c>
    </row>
    <row r="27" spans="1:36" x14ac:dyDescent="0.25">
      <c r="A27" t="s">
        <v>38</v>
      </c>
      <c r="B27">
        <v>2</v>
      </c>
      <c r="C27">
        <v>0</v>
      </c>
      <c r="D27">
        <v>0</v>
      </c>
      <c r="E27" t="s">
        <v>37</v>
      </c>
      <c r="F27" t="s">
        <v>37</v>
      </c>
      <c r="G27" t="s">
        <v>37</v>
      </c>
      <c r="H27" t="s">
        <v>37</v>
      </c>
      <c r="I27" t="s">
        <v>37</v>
      </c>
      <c r="J27" t="s">
        <v>37</v>
      </c>
      <c r="K27" t="s">
        <v>37</v>
      </c>
      <c r="L27">
        <v>123600</v>
      </c>
      <c r="M27" t="s">
        <v>37</v>
      </c>
      <c r="N27" t="s">
        <v>37</v>
      </c>
      <c r="O27">
        <v>7.9574145724172602</v>
      </c>
      <c r="P27">
        <v>17</v>
      </c>
      <c r="Q27">
        <v>33</v>
      </c>
      <c r="R27">
        <v>66</v>
      </c>
      <c r="S27">
        <v>1351.4146309325199</v>
      </c>
      <c r="T27">
        <v>46.391802025015998</v>
      </c>
      <c r="U27">
        <v>1351.9146309325199</v>
      </c>
      <c r="V27">
        <v>2002.1081979749799</v>
      </c>
      <c r="W27">
        <v>39123.166788471601</v>
      </c>
      <c r="X27">
        <v>907.92027688744997</v>
      </c>
      <c r="Y27">
        <v>914.83756229762298</v>
      </c>
      <c r="Z27">
        <v>42.765151323928301</v>
      </c>
      <c r="AA27">
        <v>1182.91943359375</v>
      </c>
      <c r="AB27">
        <v>43.090971514144798</v>
      </c>
      <c r="AC27">
        <v>772.52678497042098</v>
      </c>
      <c r="AD27">
        <v>6611</v>
      </c>
      <c r="AE27">
        <v>7.9574145724172602</v>
      </c>
      <c r="AF27">
        <v>13.47484658073</v>
      </c>
      <c r="AG27">
        <v>14.112016906340299</v>
      </c>
      <c r="AH27">
        <v>12.8376762551196</v>
      </c>
      <c r="AI27">
        <v>341.679195281256</v>
      </c>
      <c r="AJ27">
        <v>0.88856522932306403</v>
      </c>
    </row>
    <row r="28" spans="1:36" x14ac:dyDescent="0.25">
      <c r="A28" t="s">
        <v>39</v>
      </c>
      <c r="B28">
        <v>3</v>
      </c>
      <c r="C28">
        <v>0</v>
      </c>
      <c r="D28">
        <v>0</v>
      </c>
      <c r="E28" t="s">
        <v>37</v>
      </c>
      <c r="F28" t="s">
        <v>37</v>
      </c>
      <c r="G28" t="s">
        <v>37</v>
      </c>
      <c r="H28" t="s">
        <v>37</v>
      </c>
      <c r="I28" t="s">
        <v>37</v>
      </c>
      <c r="J28" t="s">
        <v>37</v>
      </c>
      <c r="K28" t="s">
        <v>37</v>
      </c>
      <c r="L28">
        <v>153700</v>
      </c>
      <c r="M28" t="s">
        <v>37</v>
      </c>
      <c r="N28" t="s">
        <v>37</v>
      </c>
      <c r="O28">
        <v>8.1009733251800906</v>
      </c>
      <c r="P28">
        <v>17</v>
      </c>
      <c r="Q28">
        <v>33</v>
      </c>
      <c r="R28">
        <v>66</v>
      </c>
      <c r="S28">
        <v>1351.2293449506799</v>
      </c>
      <c r="T28">
        <v>45.817673575522903</v>
      </c>
      <c r="U28">
        <v>1351.7293449506799</v>
      </c>
      <c r="V28">
        <v>2002.6823264244699</v>
      </c>
      <c r="W28">
        <v>5098.1181019748701</v>
      </c>
      <c r="X28">
        <v>907.92027688744997</v>
      </c>
      <c r="Y28">
        <v>321.396753416661</v>
      </c>
      <c r="Z28">
        <v>15.862382080025601</v>
      </c>
      <c r="AA28">
        <v>151.29327392578099</v>
      </c>
      <c r="AB28">
        <v>5.6151605286890804</v>
      </c>
      <c r="AC28">
        <v>92.912102396343897</v>
      </c>
      <c r="AD28">
        <v>5569</v>
      </c>
      <c r="AE28">
        <v>8.1009733251800906</v>
      </c>
      <c r="AF28">
        <v>13.117545490395701</v>
      </c>
      <c r="AG28">
        <v>13.352651721797701</v>
      </c>
      <c r="AH28">
        <v>12.882439258993699</v>
      </c>
      <c r="AI28">
        <v>5.3165282967793202</v>
      </c>
      <c r="AJ28">
        <v>0.96418047012033203</v>
      </c>
    </row>
    <row r="29" spans="1:36" x14ac:dyDescent="0.25">
      <c r="A29" t="s">
        <v>40</v>
      </c>
      <c r="B29">
        <v>4</v>
      </c>
      <c r="C29">
        <v>0</v>
      </c>
      <c r="D29">
        <v>0</v>
      </c>
      <c r="E29" t="s">
        <v>37</v>
      </c>
      <c r="F29" t="s">
        <v>37</v>
      </c>
      <c r="G29" t="s">
        <v>37</v>
      </c>
      <c r="H29" t="s">
        <v>37</v>
      </c>
      <c r="I29" t="s">
        <v>37</v>
      </c>
      <c r="J29" t="s">
        <v>37</v>
      </c>
      <c r="K29" t="s">
        <v>37</v>
      </c>
      <c r="L29">
        <v>109050</v>
      </c>
      <c r="M29" t="s">
        <v>37</v>
      </c>
      <c r="N29" t="s">
        <v>37</v>
      </c>
      <c r="O29">
        <v>7.5050259844425096</v>
      </c>
      <c r="P29">
        <v>17</v>
      </c>
      <c r="Q29">
        <v>33</v>
      </c>
      <c r="R29">
        <v>66</v>
      </c>
      <c r="S29">
        <v>1351.4574959717099</v>
      </c>
      <c r="T29">
        <v>46.177037507800698</v>
      </c>
      <c r="U29">
        <v>1351.9574959717099</v>
      </c>
      <c r="V29">
        <v>2002.3229624921901</v>
      </c>
      <c r="W29">
        <v>46261.6116990831</v>
      </c>
      <c r="X29">
        <v>907.92027688744997</v>
      </c>
      <c r="Y29">
        <v>1118.22540706174</v>
      </c>
      <c r="Z29">
        <v>41.370560360133801</v>
      </c>
      <c r="AA29">
        <v>1700.3876953125</v>
      </c>
      <c r="AB29">
        <v>50.953385310082503</v>
      </c>
      <c r="AC29">
        <v>1156.12550987891</v>
      </c>
      <c r="AD29">
        <v>6172</v>
      </c>
      <c r="AE29">
        <v>7.5050259844425096</v>
      </c>
      <c r="AF29">
        <v>12.7467087324923</v>
      </c>
      <c r="AG29">
        <v>13.5314018775991</v>
      </c>
      <c r="AH29">
        <v>11.962015587385601</v>
      </c>
      <c r="AI29">
        <v>344.32961999772402</v>
      </c>
      <c r="AJ29">
        <v>0.86535964859635905</v>
      </c>
    </row>
    <row r="30" spans="1:36" x14ac:dyDescent="0.25">
      <c r="A30" t="s">
        <v>36</v>
      </c>
      <c r="B30">
        <v>1</v>
      </c>
      <c r="C30">
        <v>0</v>
      </c>
      <c r="D30">
        <v>0</v>
      </c>
      <c r="E30" t="s">
        <v>37</v>
      </c>
      <c r="F30" t="s">
        <v>37</v>
      </c>
      <c r="G30" t="s">
        <v>37</v>
      </c>
      <c r="H30" t="s">
        <v>37</v>
      </c>
      <c r="I30" t="s">
        <v>37</v>
      </c>
      <c r="J30" t="s">
        <v>37</v>
      </c>
      <c r="K30" t="s">
        <v>37</v>
      </c>
      <c r="L30">
        <v>120600</v>
      </c>
      <c r="M30" t="s">
        <v>37</v>
      </c>
      <c r="N30" t="s">
        <v>37</v>
      </c>
      <c r="O30">
        <v>11.2307567595824</v>
      </c>
      <c r="P30">
        <v>40</v>
      </c>
      <c r="Q30">
        <v>79</v>
      </c>
      <c r="R30">
        <v>158</v>
      </c>
      <c r="S30">
        <v>770.43367651887002</v>
      </c>
      <c r="T30">
        <v>849.93505995147802</v>
      </c>
      <c r="U30">
        <v>770.93367651887002</v>
      </c>
      <c r="V30">
        <v>1198.5649400485199</v>
      </c>
      <c r="W30">
        <v>14377.743204807801</v>
      </c>
      <c r="X30">
        <v>5026.5482457436601</v>
      </c>
      <c r="Y30">
        <v>1334.8521736561599</v>
      </c>
      <c r="Z30">
        <v>10.771037788721699</v>
      </c>
      <c r="AA30">
        <v>415.42300415039</v>
      </c>
      <c r="AB30">
        <v>2.8603611269388498</v>
      </c>
      <c r="AC30">
        <v>319.37264974666601</v>
      </c>
      <c r="AD30">
        <v>49919</v>
      </c>
      <c r="AE30">
        <v>11.2307567595824</v>
      </c>
      <c r="AF30">
        <v>23.291426974499998</v>
      </c>
      <c r="AG30">
        <v>15.903690774007901</v>
      </c>
      <c r="AH30">
        <v>30.679163174992201</v>
      </c>
      <c r="AI30">
        <v>79.516568300724799</v>
      </c>
      <c r="AJ30">
        <v>0.48648046698541603</v>
      </c>
    </row>
    <row r="31" spans="1:36" x14ac:dyDescent="0.25">
      <c r="A31" t="s">
        <v>38</v>
      </c>
      <c r="B31">
        <v>2</v>
      </c>
      <c r="C31">
        <v>0</v>
      </c>
      <c r="D31">
        <v>0</v>
      </c>
      <c r="E31" t="s">
        <v>37</v>
      </c>
      <c r="F31" t="s">
        <v>37</v>
      </c>
      <c r="G31" t="s">
        <v>37</v>
      </c>
      <c r="H31" t="s">
        <v>37</v>
      </c>
      <c r="I31" t="s">
        <v>37</v>
      </c>
      <c r="J31" t="s">
        <v>37</v>
      </c>
      <c r="K31" t="s">
        <v>37</v>
      </c>
      <c r="L31">
        <v>123600</v>
      </c>
      <c r="M31" t="s">
        <v>37</v>
      </c>
      <c r="N31" t="s">
        <v>37</v>
      </c>
      <c r="O31">
        <v>11.147149836366101</v>
      </c>
      <c r="P31">
        <v>40</v>
      </c>
      <c r="Q31">
        <v>79</v>
      </c>
      <c r="R31">
        <v>158</v>
      </c>
      <c r="S31">
        <v>770.45073052877399</v>
      </c>
      <c r="T31">
        <v>850.50479470291202</v>
      </c>
      <c r="U31">
        <v>770.95073052877399</v>
      </c>
      <c r="V31">
        <v>1197.99520529708</v>
      </c>
      <c r="W31">
        <v>64498.688895349303</v>
      </c>
      <c r="X31">
        <v>5026.5482457436601</v>
      </c>
      <c r="Y31">
        <v>2083.0428382738</v>
      </c>
      <c r="Z31">
        <v>30.963688173018401</v>
      </c>
      <c r="AA31">
        <v>1058.71459960937</v>
      </c>
      <c r="AB31">
        <v>12.8316064508014</v>
      </c>
      <c r="AC31">
        <v>771.82996863160599</v>
      </c>
      <c r="AD31">
        <v>49437</v>
      </c>
      <c r="AE31">
        <v>11.147149836366101</v>
      </c>
      <c r="AF31">
        <v>24.401251671450702</v>
      </c>
      <c r="AG31">
        <v>15.7493364509297</v>
      </c>
      <c r="AH31">
        <v>33.053166891971699</v>
      </c>
      <c r="AI31">
        <v>78.256307982539099</v>
      </c>
      <c r="AJ31">
        <v>0.43086312168676499</v>
      </c>
    </row>
    <row r="32" spans="1:36" x14ac:dyDescent="0.25">
      <c r="A32" t="s">
        <v>39</v>
      </c>
      <c r="B32">
        <v>3</v>
      </c>
      <c r="C32">
        <v>0</v>
      </c>
      <c r="D32">
        <v>0</v>
      </c>
      <c r="E32" t="s">
        <v>37</v>
      </c>
      <c r="F32" t="s">
        <v>37</v>
      </c>
      <c r="G32" t="s">
        <v>37</v>
      </c>
      <c r="H32" t="s">
        <v>37</v>
      </c>
      <c r="I32" t="s">
        <v>37</v>
      </c>
      <c r="J32" t="s">
        <v>37</v>
      </c>
      <c r="K32" t="s">
        <v>37</v>
      </c>
      <c r="L32">
        <v>153700</v>
      </c>
      <c r="M32" t="s">
        <v>37</v>
      </c>
      <c r="N32" t="s">
        <v>37</v>
      </c>
      <c r="O32">
        <v>11.7736234051157</v>
      </c>
      <c r="P32">
        <v>40</v>
      </c>
      <c r="Q32">
        <v>79</v>
      </c>
      <c r="R32">
        <v>158</v>
      </c>
      <c r="S32">
        <v>770.38154682000095</v>
      </c>
      <c r="T32">
        <v>849.78766969567198</v>
      </c>
      <c r="U32">
        <v>770.88154682000095</v>
      </c>
      <c r="V32">
        <v>1198.7123303043199</v>
      </c>
      <c r="W32">
        <v>2846.81032988784</v>
      </c>
      <c r="X32">
        <v>5026.5482457436601</v>
      </c>
      <c r="Y32">
        <v>719.82515030385196</v>
      </c>
      <c r="Z32">
        <v>3.9548636619408799</v>
      </c>
      <c r="AA32">
        <v>117.72990417480401</v>
      </c>
      <c r="AB32">
        <v>0.56635492005839805</v>
      </c>
      <c r="AC32">
        <v>92.956601390180793</v>
      </c>
      <c r="AD32">
        <v>49354</v>
      </c>
      <c r="AE32">
        <v>11.7736234051157</v>
      </c>
      <c r="AF32">
        <v>21.0017877099869</v>
      </c>
      <c r="AG32">
        <v>23.1339145926406</v>
      </c>
      <c r="AH32">
        <v>18.869660827333199</v>
      </c>
      <c r="AI32">
        <v>273.44045418835998</v>
      </c>
      <c r="AJ32">
        <v>0.78752553369241496</v>
      </c>
    </row>
    <row r="33" spans="1:36" x14ac:dyDescent="0.25">
      <c r="A33" t="s">
        <v>40</v>
      </c>
      <c r="B33">
        <v>4</v>
      </c>
      <c r="C33">
        <v>0</v>
      </c>
      <c r="D33">
        <v>0</v>
      </c>
      <c r="E33" t="s">
        <v>37</v>
      </c>
      <c r="F33" t="s">
        <v>37</v>
      </c>
      <c r="G33" t="s">
        <v>37</v>
      </c>
      <c r="H33" t="s">
        <v>37</v>
      </c>
      <c r="I33" t="s">
        <v>37</v>
      </c>
      <c r="J33" t="s">
        <v>37</v>
      </c>
      <c r="K33" t="s">
        <v>37</v>
      </c>
      <c r="L33">
        <v>109050</v>
      </c>
      <c r="M33" t="s">
        <v>37</v>
      </c>
      <c r="N33" t="s">
        <v>37</v>
      </c>
      <c r="O33">
        <v>10.7695792065166</v>
      </c>
      <c r="P33">
        <v>40</v>
      </c>
      <c r="Q33">
        <v>79</v>
      </c>
      <c r="R33">
        <v>158</v>
      </c>
      <c r="S33">
        <v>770.43989828825897</v>
      </c>
      <c r="T33">
        <v>850.06665638069603</v>
      </c>
      <c r="U33">
        <v>770.93989828825897</v>
      </c>
      <c r="V33">
        <v>1198.4333436193001</v>
      </c>
      <c r="W33">
        <v>70956.556183899695</v>
      </c>
      <c r="X33">
        <v>5026.5482457436601</v>
      </c>
      <c r="Y33">
        <v>2545.61431203845</v>
      </c>
      <c r="Z33">
        <v>27.874040402876201</v>
      </c>
      <c r="AA33">
        <v>1531.09729003906</v>
      </c>
      <c r="AB33">
        <v>14.116358326806701</v>
      </c>
      <c r="AC33">
        <v>1156.1019046589499</v>
      </c>
      <c r="AD33">
        <v>48885</v>
      </c>
      <c r="AE33">
        <v>10.7695792065166</v>
      </c>
      <c r="AF33">
        <v>22.867021117786301</v>
      </c>
      <c r="AG33">
        <v>14.01461395778</v>
      </c>
      <c r="AH33">
        <v>31.719428277792598</v>
      </c>
      <c r="AI33">
        <v>77.544638168413996</v>
      </c>
      <c r="AJ33">
        <v>0.38449370074758499</v>
      </c>
    </row>
    <row r="34" spans="1:36" x14ac:dyDescent="0.25">
      <c r="A34" t="s">
        <v>36</v>
      </c>
      <c r="B34">
        <v>1</v>
      </c>
      <c r="C34">
        <v>0</v>
      </c>
      <c r="D34">
        <v>0</v>
      </c>
      <c r="E34" t="s">
        <v>37</v>
      </c>
      <c r="F34" t="s">
        <v>37</v>
      </c>
      <c r="G34" t="s">
        <v>37</v>
      </c>
      <c r="H34" t="s">
        <v>37</v>
      </c>
      <c r="I34" t="s">
        <v>37</v>
      </c>
      <c r="J34" t="s">
        <v>37</v>
      </c>
      <c r="K34" t="s">
        <v>37</v>
      </c>
      <c r="L34">
        <v>120600</v>
      </c>
      <c r="M34" t="s">
        <v>37</v>
      </c>
      <c r="N34" t="s">
        <v>37</v>
      </c>
      <c r="O34">
        <v>10.2206079892545</v>
      </c>
      <c r="P34">
        <v>28</v>
      </c>
      <c r="Q34">
        <v>56</v>
      </c>
      <c r="R34">
        <v>111</v>
      </c>
      <c r="S34">
        <v>563.04638121875996</v>
      </c>
      <c r="T34">
        <v>1528.3792760946001</v>
      </c>
      <c r="U34">
        <v>563.54638121875996</v>
      </c>
      <c r="V34">
        <v>520.12072390539004</v>
      </c>
      <c r="W34">
        <v>31761.984769147799</v>
      </c>
      <c r="X34">
        <v>2463.0086404143899</v>
      </c>
      <c r="Y34">
        <v>948.86829326972304</v>
      </c>
      <c r="Z34">
        <v>33.473544215181398</v>
      </c>
      <c r="AA34">
        <v>530.03662109375</v>
      </c>
      <c r="AB34">
        <v>12.895604281681999</v>
      </c>
      <c r="AC34">
        <v>319.54145529066602</v>
      </c>
      <c r="AD34">
        <v>23835</v>
      </c>
      <c r="AE34">
        <v>10.2206079892545</v>
      </c>
      <c r="AF34">
        <v>21.830569471441802</v>
      </c>
      <c r="AG34">
        <v>13.755204031878799</v>
      </c>
      <c r="AH34">
        <v>29.905934911004699</v>
      </c>
      <c r="AI34">
        <v>82.382694631445901</v>
      </c>
      <c r="AJ34">
        <v>0.440911923813045</v>
      </c>
    </row>
    <row r="35" spans="1:36" x14ac:dyDescent="0.25">
      <c r="A35" t="s">
        <v>38</v>
      </c>
      <c r="B35">
        <v>2</v>
      </c>
      <c r="C35">
        <v>0</v>
      </c>
      <c r="D35">
        <v>0</v>
      </c>
      <c r="E35" t="s">
        <v>37</v>
      </c>
      <c r="F35" t="s">
        <v>37</v>
      </c>
      <c r="G35" t="s">
        <v>37</v>
      </c>
      <c r="H35" t="s">
        <v>37</v>
      </c>
      <c r="I35" t="s">
        <v>37</v>
      </c>
      <c r="J35" t="s">
        <v>37</v>
      </c>
      <c r="K35" t="s">
        <v>37</v>
      </c>
      <c r="L35">
        <v>123600</v>
      </c>
      <c r="M35" t="s">
        <v>37</v>
      </c>
      <c r="N35" t="s">
        <v>37</v>
      </c>
      <c r="O35">
        <v>7.2733306890396401</v>
      </c>
      <c r="P35">
        <v>28</v>
      </c>
      <c r="Q35">
        <v>56</v>
      </c>
      <c r="R35">
        <v>111</v>
      </c>
      <c r="S35">
        <v>563.27375902750396</v>
      </c>
      <c r="T35">
        <v>1531.1480209510701</v>
      </c>
      <c r="U35">
        <v>563.77375902750396</v>
      </c>
      <c r="V35">
        <v>517.35197904892198</v>
      </c>
      <c r="W35">
        <v>80661.481836141305</v>
      </c>
      <c r="X35">
        <v>2463.0086404143899</v>
      </c>
      <c r="Y35">
        <v>1478.4949018822099</v>
      </c>
      <c r="Z35">
        <v>54.556482902615699</v>
      </c>
      <c r="AA35">
        <v>1394.33605957031</v>
      </c>
      <c r="AB35">
        <v>32.749167222803599</v>
      </c>
      <c r="AC35">
        <v>772.81790701407397</v>
      </c>
      <c r="AD35">
        <v>23255</v>
      </c>
      <c r="AE35">
        <v>7.2733306890396401</v>
      </c>
      <c r="AF35">
        <v>20.151372421965199</v>
      </c>
      <c r="AG35">
        <v>13.916161471233799</v>
      </c>
      <c r="AH35">
        <v>26.386583372696499</v>
      </c>
      <c r="AI35">
        <v>82.721190736020901</v>
      </c>
      <c r="AJ35">
        <v>0.51285982023571097</v>
      </c>
    </row>
    <row r="36" spans="1:36" x14ac:dyDescent="0.25">
      <c r="A36" t="s">
        <v>39</v>
      </c>
      <c r="B36">
        <v>3</v>
      </c>
      <c r="C36">
        <v>0</v>
      </c>
      <c r="D36">
        <v>0</v>
      </c>
      <c r="E36" t="s">
        <v>37</v>
      </c>
      <c r="F36" t="s">
        <v>37</v>
      </c>
      <c r="G36" t="s">
        <v>37</v>
      </c>
      <c r="H36" t="s">
        <v>37</v>
      </c>
      <c r="I36" t="s">
        <v>37</v>
      </c>
      <c r="J36" t="s">
        <v>37</v>
      </c>
      <c r="K36" t="s">
        <v>37</v>
      </c>
      <c r="L36">
        <v>153700</v>
      </c>
      <c r="M36" t="s">
        <v>37</v>
      </c>
      <c r="N36" t="s">
        <v>37</v>
      </c>
      <c r="O36">
        <v>10.874131652789799</v>
      </c>
      <c r="P36">
        <v>28</v>
      </c>
      <c r="Q36">
        <v>56</v>
      </c>
      <c r="R36">
        <v>111</v>
      </c>
      <c r="S36">
        <v>562.80028680329599</v>
      </c>
      <c r="T36">
        <v>1527.96661972573</v>
      </c>
      <c r="U36">
        <v>563.30028680329599</v>
      </c>
      <c r="V36">
        <v>520.53338027426503</v>
      </c>
      <c r="W36">
        <v>9467.5834730861498</v>
      </c>
      <c r="X36">
        <v>2463.0086404143899</v>
      </c>
      <c r="Y36">
        <v>512.65420909475495</v>
      </c>
      <c r="Z36">
        <v>18.4677767296673</v>
      </c>
      <c r="AA36">
        <v>163.50636291503901</v>
      </c>
      <c r="AB36">
        <v>3.8439099716244698</v>
      </c>
      <c r="AC36">
        <v>93.286035743804604</v>
      </c>
      <c r="AD36">
        <v>24230</v>
      </c>
      <c r="AE36">
        <v>10.874131652789799</v>
      </c>
      <c r="AF36">
        <v>23.799844306302202</v>
      </c>
      <c r="AG36">
        <v>16.013917053173301</v>
      </c>
      <c r="AH36">
        <v>31.585771559430999</v>
      </c>
      <c r="AI36">
        <v>81.703553875754594</v>
      </c>
      <c r="AJ36">
        <v>0.48690745728044799</v>
      </c>
    </row>
    <row r="37" spans="1:36" x14ac:dyDescent="0.25">
      <c r="A37" t="s">
        <v>40</v>
      </c>
      <c r="B37">
        <v>4</v>
      </c>
      <c r="C37">
        <v>0</v>
      </c>
      <c r="D37">
        <v>0</v>
      </c>
      <c r="E37" t="s">
        <v>37</v>
      </c>
      <c r="F37" t="s">
        <v>37</v>
      </c>
      <c r="G37" t="s">
        <v>37</v>
      </c>
      <c r="H37" t="s">
        <v>37</v>
      </c>
      <c r="I37" t="s">
        <v>37</v>
      </c>
      <c r="J37" t="s">
        <v>37</v>
      </c>
      <c r="K37" t="s">
        <v>37</v>
      </c>
      <c r="L37">
        <v>109050</v>
      </c>
      <c r="M37" t="s">
        <v>37</v>
      </c>
      <c r="N37" t="s">
        <v>37</v>
      </c>
      <c r="O37">
        <v>7.6270521077560396</v>
      </c>
      <c r="P37">
        <v>28</v>
      </c>
      <c r="Q37">
        <v>56</v>
      </c>
      <c r="R37">
        <v>111</v>
      </c>
      <c r="S37">
        <v>563.14363904792299</v>
      </c>
      <c r="T37">
        <v>1530.1118831618501</v>
      </c>
      <c r="U37">
        <v>563.64363904792299</v>
      </c>
      <c r="V37">
        <v>518.38811683814197</v>
      </c>
      <c r="W37">
        <v>136179.23583212899</v>
      </c>
      <c r="X37">
        <v>2463.0086404143899</v>
      </c>
      <c r="Y37">
        <v>1814.6415949147799</v>
      </c>
      <c r="Z37">
        <v>75.044700955686295</v>
      </c>
      <c r="AA37">
        <v>2151.6259765625</v>
      </c>
      <c r="AB37">
        <v>55.289792166225403</v>
      </c>
      <c r="AC37">
        <v>1157.12585940655</v>
      </c>
      <c r="AD37">
        <v>22902</v>
      </c>
      <c r="AE37">
        <v>7.6270521077560396</v>
      </c>
      <c r="AF37">
        <v>21.208543421172401</v>
      </c>
      <c r="AG37">
        <v>14.117270090586899</v>
      </c>
      <c r="AH37">
        <v>28.299816751757898</v>
      </c>
      <c r="AI37">
        <v>82.211143605159506</v>
      </c>
      <c r="AJ37">
        <v>0.48084765319709899</v>
      </c>
    </row>
    <row r="38" spans="1:36" x14ac:dyDescent="0.25">
      <c r="A38" t="s">
        <v>36</v>
      </c>
      <c r="B38">
        <v>1</v>
      </c>
      <c r="C38">
        <v>0</v>
      </c>
      <c r="D38">
        <v>0</v>
      </c>
      <c r="E38" t="s">
        <v>37</v>
      </c>
      <c r="F38" t="s">
        <v>37</v>
      </c>
      <c r="G38" t="s">
        <v>37</v>
      </c>
      <c r="H38" t="s">
        <v>37</v>
      </c>
      <c r="I38" t="s">
        <v>37</v>
      </c>
      <c r="J38" t="s">
        <v>37</v>
      </c>
      <c r="K38" t="s">
        <v>37</v>
      </c>
      <c r="L38">
        <v>120600</v>
      </c>
      <c r="M38" t="s">
        <v>37</v>
      </c>
      <c r="N38" t="s">
        <v>37</v>
      </c>
      <c r="O38">
        <v>17.4814785624101</v>
      </c>
      <c r="P38">
        <v>40</v>
      </c>
      <c r="Q38">
        <v>79</v>
      </c>
      <c r="R38">
        <v>158</v>
      </c>
      <c r="S38">
        <v>1749.6753223107</v>
      </c>
      <c r="T38">
        <v>176.525647773667</v>
      </c>
      <c r="U38">
        <v>1750.1753223107</v>
      </c>
      <c r="V38">
        <v>1871.97435222633</v>
      </c>
      <c r="W38">
        <v>15120.157481201601</v>
      </c>
      <c r="X38">
        <v>5026.5482457436601</v>
      </c>
      <c r="Y38">
        <v>1337.54472150076</v>
      </c>
      <c r="Z38">
        <v>11.304412658618499</v>
      </c>
      <c r="AA38">
        <v>402.200592041015</v>
      </c>
      <c r="AB38">
        <v>3.00805975432643</v>
      </c>
      <c r="AC38">
        <v>319.459992596745</v>
      </c>
      <c r="AD38">
        <v>48142</v>
      </c>
      <c r="AE38">
        <v>17.4814785624101</v>
      </c>
      <c r="AF38">
        <v>24.012284765013199</v>
      </c>
      <c r="AG38">
        <v>26.474496816380199</v>
      </c>
      <c r="AH38">
        <v>21.550072713646198</v>
      </c>
      <c r="AI38">
        <v>324.78872912150598</v>
      </c>
      <c r="AJ38">
        <v>0.49557316201702301</v>
      </c>
    </row>
    <row r="39" spans="1:36" x14ac:dyDescent="0.25">
      <c r="A39" t="s">
        <v>38</v>
      </c>
      <c r="B39">
        <v>2</v>
      </c>
      <c r="C39">
        <v>0</v>
      </c>
      <c r="D39">
        <v>0</v>
      </c>
      <c r="E39" t="s">
        <v>37</v>
      </c>
      <c r="F39" t="s">
        <v>37</v>
      </c>
      <c r="G39" t="s">
        <v>37</v>
      </c>
      <c r="H39" t="s">
        <v>37</v>
      </c>
      <c r="I39" t="s">
        <v>37</v>
      </c>
      <c r="J39" t="s">
        <v>37</v>
      </c>
      <c r="K39" t="s">
        <v>37</v>
      </c>
      <c r="L39">
        <v>123600</v>
      </c>
      <c r="M39" t="s">
        <v>37</v>
      </c>
      <c r="N39" t="s">
        <v>37</v>
      </c>
      <c r="O39">
        <v>17.925060847042701</v>
      </c>
      <c r="P39">
        <v>40</v>
      </c>
      <c r="Q39">
        <v>79</v>
      </c>
      <c r="R39">
        <v>158</v>
      </c>
      <c r="S39">
        <v>1749.4928968023601</v>
      </c>
      <c r="T39">
        <v>177.23979817759101</v>
      </c>
      <c r="U39">
        <v>1749.9928968023601</v>
      </c>
      <c r="V39">
        <v>1871.2602018223999</v>
      </c>
      <c r="W39">
        <v>24833.684262505201</v>
      </c>
      <c r="X39">
        <v>5026.5482457436601</v>
      </c>
      <c r="Y39">
        <v>2076.7603598764199</v>
      </c>
      <c r="Z39">
        <v>11.9578959336372</v>
      </c>
      <c r="AA39">
        <v>882.39349365234295</v>
      </c>
      <c r="AB39">
        <v>4.9405045069513998</v>
      </c>
      <c r="AC39">
        <v>772.01303588630196</v>
      </c>
      <c r="AD39">
        <v>47917</v>
      </c>
      <c r="AE39">
        <v>17.925060847042701</v>
      </c>
      <c r="AF39">
        <v>19.705546656497599</v>
      </c>
      <c r="AG39">
        <v>23.284048466092301</v>
      </c>
      <c r="AH39">
        <v>16.127044846903001</v>
      </c>
      <c r="AI39">
        <v>330.792780257179</v>
      </c>
      <c r="AJ39">
        <v>0.44348688223229499</v>
      </c>
    </row>
    <row r="40" spans="1:36" x14ac:dyDescent="0.25">
      <c r="A40" t="s">
        <v>39</v>
      </c>
      <c r="B40">
        <v>3</v>
      </c>
      <c r="C40">
        <v>0</v>
      </c>
      <c r="D40">
        <v>0</v>
      </c>
      <c r="E40" t="s">
        <v>37</v>
      </c>
      <c r="F40" t="s">
        <v>37</v>
      </c>
      <c r="G40" t="s">
        <v>37</v>
      </c>
      <c r="H40" t="s">
        <v>37</v>
      </c>
      <c r="I40" t="s">
        <v>37</v>
      </c>
      <c r="J40" t="s">
        <v>37</v>
      </c>
      <c r="K40" t="s">
        <v>37</v>
      </c>
      <c r="L40">
        <v>153700</v>
      </c>
      <c r="M40" t="s">
        <v>37</v>
      </c>
      <c r="N40" t="s">
        <v>37</v>
      </c>
      <c r="O40">
        <v>2.5576880271279401</v>
      </c>
      <c r="P40">
        <v>40</v>
      </c>
      <c r="Q40">
        <v>79</v>
      </c>
      <c r="R40">
        <v>158</v>
      </c>
      <c r="S40">
        <v>1750.73007723297</v>
      </c>
      <c r="T40">
        <v>180.469512641097</v>
      </c>
      <c r="U40">
        <v>1751.23007723297</v>
      </c>
      <c r="V40">
        <v>1868.0304873589</v>
      </c>
      <c r="W40">
        <v>1928.1782477368199</v>
      </c>
      <c r="X40">
        <v>5026.5482457436601</v>
      </c>
      <c r="Y40">
        <v>721.88491323147605</v>
      </c>
      <c r="Z40">
        <v>2.67103275382975</v>
      </c>
      <c r="AA40">
        <v>106.552185058593</v>
      </c>
      <c r="AB40">
        <v>0.38359887411198101</v>
      </c>
      <c r="AC40">
        <v>93.624101436799194</v>
      </c>
      <c r="AD40">
        <v>49158</v>
      </c>
      <c r="AE40">
        <v>2.5576880271279401</v>
      </c>
      <c r="AF40">
        <v>34.361841254167601</v>
      </c>
      <c r="AG40">
        <v>26.632592535172702</v>
      </c>
      <c r="AH40">
        <v>42.091089973162497</v>
      </c>
      <c r="AI40">
        <v>277.85413929829298</v>
      </c>
      <c r="AJ40">
        <v>0.61988270216633801</v>
      </c>
    </row>
    <row r="41" spans="1:36" x14ac:dyDescent="0.25">
      <c r="A41" t="s">
        <v>40</v>
      </c>
      <c r="B41">
        <v>4</v>
      </c>
      <c r="C41">
        <v>0</v>
      </c>
      <c r="D41">
        <v>0</v>
      </c>
      <c r="E41" t="s">
        <v>37</v>
      </c>
      <c r="F41" t="s">
        <v>37</v>
      </c>
      <c r="G41" t="s">
        <v>37</v>
      </c>
      <c r="H41" t="s">
        <v>37</v>
      </c>
      <c r="I41" t="s">
        <v>37</v>
      </c>
      <c r="J41" t="s">
        <v>37</v>
      </c>
      <c r="K41" t="s">
        <v>37</v>
      </c>
      <c r="L41">
        <v>109050</v>
      </c>
      <c r="M41" t="s">
        <v>37</v>
      </c>
      <c r="N41" t="s">
        <v>37</v>
      </c>
      <c r="O41">
        <v>16.6692684678309</v>
      </c>
      <c r="P41">
        <v>40</v>
      </c>
      <c r="Q41">
        <v>79</v>
      </c>
      <c r="R41">
        <v>158</v>
      </c>
      <c r="S41">
        <v>1749.128084168</v>
      </c>
      <c r="T41">
        <v>176.92957972363101</v>
      </c>
      <c r="U41">
        <v>1749.628084168</v>
      </c>
      <c r="V41">
        <v>1871.57042027636</v>
      </c>
      <c r="W41">
        <v>47008.251586685801</v>
      </c>
      <c r="X41">
        <v>5026.5482457436601</v>
      </c>
      <c r="Y41">
        <v>2545.2663796543202</v>
      </c>
      <c r="Z41">
        <v>18.468892671685701</v>
      </c>
      <c r="AA41">
        <v>1379.33825683593</v>
      </c>
      <c r="AB41">
        <v>9.3519945076606099</v>
      </c>
      <c r="AC41">
        <v>1155.56846038856</v>
      </c>
      <c r="AD41">
        <v>46911</v>
      </c>
      <c r="AE41">
        <v>16.6692684678309</v>
      </c>
      <c r="AF41">
        <v>22.882144523869901</v>
      </c>
      <c r="AG41">
        <v>25.820332628771901</v>
      </c>
      <c r="AH41">
        <v>19.9439564189679</v>
      </c>
      <c r="AI41">
        <v>325.51647889593602</v>
      </c>
      <c r="AJ41">
        <v>0.41683948027772699</v>
      </c>
    </row>
    <row r="42" spans="1:36" x14ac:dyDescent="0.25">
      <c r="A42" t="s">
        <v>36</v>
      </c>
      <c r="B42">
        <v>1</v>
      </c>
      <c r="C42">
        <v>0</v>
      </c>
      <c r="D42">
        <v>0</v>
      </c>
      <c r="E42" t="s">
        <v>37</v>
      </c>
      <c r="F42" t="s">
        <v>37</v>
      </c>
      <c r="G42" t="s">
        <v>37</v>
      </c>
      <c r="H42" t="s">
        <v>37</v>
      </c>
      <c r="I42" t="s">
        <v>37</v>
      </c>
      <c r="J42" t="s">
        <v>37</v>
      </c>
      <c r="K42" t="s">
        <v>37</v>
      </c>
      <c r="L42">
        <v>120600</v>
      </c>
      <c r="M42" t="s">
        <v>37</v>
      </c>
      <c r="N42" t="s">
        <v>37</v>
      </c>
      <c r="O42">
        <v>23.742605932562</v>
      </c>
      <c r="P42">
        <v>27</v>
      </c>
      <c r="Q42">
        <v>53</v>
      </c>
      <c r="R42">
        <v>106</v>
      </c>
      <c r="S42">
        <v>1297.95885868036</v>
      </c>
      <c r="T42">
        <v>390.49408083998901</v>
      </c>
      <c r="U42">
        <v>1298.45885868036</v>
      </c>
      <c r="V42">
        <v>1658.0059191600101</v>
      </c>
      <c r="W42">
        <v>21786.962506899901</v>
      </c>
      <c r="X42">
        <v>2290.2210444669499</v>
      </c>
      <c r="Y42">
        <v>911.10781788833106</v>
      </c>
      <c r="Z42">
        <v>23.9126062570678</v>
      </c>
      <c r="AA42">
        <v>426.93109130859301</v>
      </c>
      <c r="AB42">
        <v>9.5130391712782405</v>
      </c>
      <c r="AC42">
        <v>319.24107106596801</v>
      </c>
      <c r="AD42">
        <v>21750</v>
      </c>
      <c r="AE42">
        <v>23.742605932562</v>
      </c>
      <c r="AF42">
        <v>29.265423518100299</v>
      </c>
      <c r="AG42">
        <v>28.493182126305602</v>
      </c>
      <c r="AH42">
        <v>30.037664909895</v>
      </c>
      <c r="AI42">
        <v>50.612927395265601</v>
      </c>
      <c r="AJ42">
        <v>0.75742070931073202</v>
      </c>
    </row>
    <row r="43" spans="1:36" x14ac:dyDescent="0.25">
      <c r="A43" t="s">
        <v>38</v>
      </c>
      <c r="B43">
        <v>2</v>
      </c>
      <c r="C43">
        <v>0</v>
      </c>
      <c r="D43">
        <v>0</v>
      </c>
      <c r="E43" t="s">
        <v>37</v>
      </c>
      <c r="F43" t="s">
        <v>37</v>
      </c>
      <c r="G43" t="s">
        <v>37</v>
      </c>
      <c r="H43" t="s">
        <v>37</v>
      </c>
      <c r="I43" t="s">
        <v>37</v>
      </c>
      <c r="J43" t="s">
        <v>37</v>
      </c>
      <c r="K43" t="s">
        <v>37</v>
      </c>
      <c r="L43">
        <v>123600</v>
      </c>
      <c r="M43" t="s">
        <v>37</v>
      </c>
      <c r="N43" t="s">
        <v>37</v>
      </c>
      <c r="O43">
        <v>19.384516824717402</v>
      </c>
      <c r="P43">
        <v>27</v>
      </c>
      <c r="Q43">
        <v>53</v>
      </c>
      <c r="R43">
        <v>106</v>
      </c>
      <c r="S43">
        <v>1294.05364988683</v>
      </c>
      <c r="T43">
        <v>390.78668817450199</v>
      </c>
      <c r="U43">
        <v>1294.55364988683</v>
      </c>
      <c r="V43">
        <v>1657.7133118254901</v>
      </c>
      <c r="W43">
        <v>81168.700700416201</v>
      </c>
      <c r="X43">
        <v>2290.2210444669499</v>
      </c>
      <c r="Y43">
        <v>1426.1037087402501</v>
      </c>
      <c r="Z43">
        <v>56.916408114607997</v>
      </c>
      <c r="AA43">
        <v>974.95031738281205</v>
      </c>
      <c r="AB43">
        <v>35.441426449431603</v>
      </c>
      <c r="AC43">
        <v>771.777253776169</v>
      </c>
      <c r="AD43">
        <v>21899</v>
      </c>
      <c r="AE43">
        <v>19.384516824717402</v>
      </c>
      <c r="AF43">
        <v>28.704702587825</v>
      </c>
      <c r="AG43">
        <v>27.834682368472698</v>
      </c>
      <c r="AH43">
        <v>29.574722807177402</v>
      </c>
      <c r="AI43">
        <v>53.8967860438567</v>
      </c>
      <c r="AJ43">
        <v>0.8180412484988</v>
      </c>
    </row>
    <row r="44" spans="1:36" x14ac:dyDescent="0.25">
      <c r="A44" t="s">
        <v>39</v>
      </c>
      <c r="B44">
        <v>3</v>
      </c>
      <c r="C44">
        <v>0</v>
      </c>
      <c r="D44">
        <v>0</v>
      </c>
      <c r="E44" t="s">
        <v>37</v>
      </c>
      <c r="F44" t="s">
        <v>37</v>
      </c>
      <c r="G44" t="s">
        <v>37</v>
      </c>
      <c r="H44" t="s">
        <v>37</v>
      </c>
      <c r="I44" t="s">
        <v>37</v>
      </c>
      <c r="J44" t="s">
        <v>37</v>
      </c>
      <c r="K44" t="s">
        <v>37</v>
      </c>
      <c r="L44">
        <v>153700</v>
      </c>
      <c r="M44" t="s">
        <v>37</v>
      </c>
      <c r="N44" t="s">
        <v>37</v>
      </c>
      <c r="O44">
        <v>20.4787888888551</v>
      </c>
      <c r="P44">
        <v>27</v>
      </c>
      <c r="Q44">
        <v>53</v>
      </c>
      <c r="R44">
        <v>106</v>
      </c>
      <c r="S44">
        <v>1299.4672447872699</v>
      </c>
      <c r="T44">
        <v>389.88513167719401</v>
      </c>
      <c r="U44">
        <v>1299.9672447872699</v>
      </c>
      <c r="V44">
        <v>1658.6148683228</v>
      </c>
      <c r="W44">
        <v>8137.5039306306198</v>
      </c>
      <c r="X44">
        <v>2290.2210444669499</v>
      </c>
      <c r="Y44">
        <v>495.26976298072401</v>
      </c>
      <c r="Z44">
        <v>16.4304476850272</v>
      </c>
      <c r="AA44">
        <v>135.79360961914</v>
      </c>
      <c r="AB44">
        <v>3.55315219475882</v>
      </c>
      <c r="AC44">
        <v>93.659259339717295</v>
      </c>
      <c r="AD44">
        <v>21889</v>
      </c>
      <c r="AE44">
        <v>20.4787888888551</v>
      </c>
      <c r="AF44">
        <v>30.344898435441099</v>
      </c>
      <c r="AG44">
        <v>30.245811042568601</v>
      </c>
      <c r="AH44">
        <v>30.4439858283136</v>
      </c>
      <c r="AI44">
        <v>45.705477549899399</v>
      </c>
      <c r="AJ44">
        <v>0.76206878360782004</v>
      </c>
    </row>
    <row r="45" spans="1:36" x14ac:dyDescent="0.25">
      <c r="A45" t="s">
        <v>40</v>
      </c>
      <c r="B45">
        <v>4</v>
      </c>
      <c r="C45">
        <v>0</v>
      </c>
      <c r="D45">
        <v>0</v>
      </c>
      <c r="E45" t="s">
        <v>37</v>
      </c>
      <c r="F45" t="s">
        <v>37</v>
      </c>
      <c r="G45" t="s">
        <v>37</v>
      </c>
      <c r="H45" t="s">
        <v>37</v>
      </c>
      <c r="I45" t="s">
        <v>37</v>
      </c>
      <c r="J45" t="s">
        <v>37</v>
      </c>
      <c r="K45" t="s">
        <v>37</v>
      </c>
      <c r="L45">
        <v>109050</v>
      </c>
      <c r="M45" t="s">
        <v>37</v>
      </c>
      <c r="N45" t="s">
        <v>37</v>
      </c>
      <c r="O45">
        <v>25.855573785795698</v>
      </c>
      <c r="P45">
        <v>27</v>
      </c>
      <c r="Q45">
        <v>53</v>
      </c>
      <c r="R45">
        <v>106</v>
      </c>
      <c r="S45">
        <v>1295.3897810496501</v>
      </c>
      <c r="T45">
        <v>390.51549535491699</v>
      </c>
      <c r="U45">
        <v>1295.8897810496501</v>
      </c>
      <c r="V45">
        <v>1657.9845046450801</v>
      </c>
      <c r="W45">
        <v>98651.771346294307</v>
      </c>
      <c r="X45">
        <v>2290.2210444669499</v>
      </c>
      <c r="Y45">
        <v>1739.36864038357</v>
      </c>
      <c r="Z45">
        <v>56.717000097540499</v>
      </c>
      <c r="AA45">
        <v>1434.77319335937</v>
      </c>
      <c r="AB45">
        <v>43.075218256609404</v>
      </c>
      <c r="AC45">
        <v>1155.81216314176</v>
      </c>
      <c r="AD45">
        <v>21692</v>
      </c>
      <c r="AE45">
        <v>25.855573785795698</v>
      </c>
      <c r="AF45">
        <v>29.200163530182401</v>
      </c>
      <c r="AG45">
        <v>28.175910074923902</v>
      </c>
      <c r="AH45">
        <v>30.224416985441</v>
      </c>
      <c r="AI45">
        <v>53.9367053743753</v>
      </c>
      <c r="AJ45">
        <v>0.79263535183050604</v>
      </c>
    </row>
    <row r="46" spans="1:36" x14ac:dyDescent="0.25">
      <c r="A46" s="1" t="s">
        <v>36</v>
      </c>
      <c r="B46" s="1">
        <v>1</v>
      </c>
      <c r="C46" s="1">
        <v>0</v>
      </c>
      <c r="D46" s="1">
        <v>0</v>
      </c>
      <c r="E46" s="1" t="s">
        <v>37</v>
      </c>
      <c r="F46" s="1" t="s">
        <v>37</v>
      </c>
      <c r="G46" s="1" t="s">
        <v>37</v>
      </c>
      <c r="H46" s="1" t="s">
        <v>37</v>
      </c>
      <c r="I46" s="1" t="s">
        <v>37</v>
      </c>
      <c r="J46" s="1" t="s">
        <v>37</v>
      </c>
      <c r="K46" s="1" t="s">
        <v>37</v>
      </c>
      <c r="L46" s="1">
        <v>120600</v>
      </c>
      <c r="M46" s="1" t="s">
        <v>37</v>
      </c>
      <c r="N46" s="1" t="s">
        <v>37</v>
      </c>
      <c r="O46" s="1">
        <v>4.36282733274028</v>
      </c>
      <c r="P46" s="1">
        <v>10</v>
      </c>
      <c r="Q46" s="1">
        <v>20</v>
      </c>
      <c r="R46" s="1">
        <v>39</v>
      </c>
      <c r="S46" s="1">
        <v>310.01618682940699</v>
      </c>
      <c r="T46" s="1">
        <v>677.89364727825796</v>
      </c>
      <c r="U46" s="1">
        <v>310.51618682940699</v>
      </c>
      <c r="V46" s="1">
        <v>1370.60635272174</v>
      </c>
      <c r="W46" s="1">
        <v>3438.0371448332698</v>
      </c>
      <c r="X46" s="1">
        <v>314.15926535897898</v>
      </c>
      <c r="Y46" s="1">
        <v>338.90636321750799</v>
      </c>
      <c r="Z46" s="1">
        <v>10.144504553391201</v>
      </c>
      <c r="AA46" s="1">
        <v>443.30484008789</v>
      </c>
      <c r="AB46" s="1">
        <v>10.9436121226752</v>
      </c>
      <c r="AC46" s="1">
        <v>319.62781309633499</v>
      </c>
      <c r="AD46" s="1">
        <v>2874</v>
      </c>
      <c r="AE46" s="1">
        <v>4.36282733274028</v>
      </c>
      <c r="AF46" s="1">
        <v>7.9391222992229897</v>
      </c>
      <c r="AG46" s="1">
        <v>7.6586511121157699</v>
      </c>
      <c r="AH46" s="1">
        <v>8.2195934863302007</v>
      </c>
      <c r="AI46" s="1">
        <v>296.074224397921</v>
      </c>
      <c r="AJ46" s="1">
        <v>0.890908763911891</v>
      </c>
    </row>
    <row r="47" spans="1:36" x14ac:dyDescent="0.25">
      <c r="A47" s="1" t="s">
        <v>38</v>
      </c>
      <c r="B47" s="1">
        <v>2</v>
      </c>
      <c r="C47" s="1">
        <v>0</v>
      </c>
      <c r="D47" s="1">
        <v>0</v>
      </c>
      <c r="E47" s="1" t="s">
        <v>37</v>
      </c>
      <c r="F47" s="1" t="s">
        <v>37</v>
      </c>
      <c r="G47" s="1" t="s">
        <v>37</v>
      </c>
      <c r="H47" s="1" t="s">
        <v>37</v>
      </c>
      <c r="I47" s="1" t="s">
        <v>37</v>
      </c>
      <c r="J47" s="1" t="s">
        <v>37</v>
      </c>
      <c r="K47" s="1" t="s">
        <v>37</v>
      </c>
      <c r="L47" s="1">
        <v>123600</v>
      </c>
      <c r="M47" s="1" t="s">
        <v>37</v>
      </c>
      <c r="N47" s="1" t="s">
        <v>37</v>
      </c>
      <c r="O47" s="1">
        <v>5.3922085707292897</v>
      </c>
      <c r="P47" s="1">
        <v>10</v>
      </c>
      <c r="Q47" s="1">
        <v>20</v>
      </c>
      <c r="R47" s="1">
        <v>39</v>
      </c>
      <c r="S47" s="1">
        <v>310.31633129191903</v>
      </c>
      <c r="T47" s="1">
        <v>678.13030738154202</v>
      </c>
      <c r="U47" s="1">
        <v>310.81633129191903</v>
      </c>
      <c r="V47" s="1">
        <v>1370.36969261845</v>
      </c>
      <c r="W47" s="1">
        <v>8221.3129238889305</v>
      </c>
      <c r="X47" s="1">
        <v>314.15926535897898</v>
      </c>
      <c r="Y47" s="1">
        <v>528.06184145728298</v>
      </c>
      <c r="Z47" s="1">
        <v>15.5688449314965</v>
      </c>
      <c r="AA47" s="1">
        <v>989.931396484375</v>
      </c>
      <c r="AB47" s="1">
        <v>26.169251810844099</v>
      </c>
      <c r="AC47" s="1">
        <v>772.77149276983903</v>
      </c>
      <c r="AD47" s="1">
        <v>2741</v>
      </c>
      <c r="AE47" s="1">
        <v>5.3922085707292897</v>
      </c>
      <c r="AF47" s="1">
        <v>8.5149221082111506</v>
      </c>
      <c r="AG47" s="1">
        <v>8.2199916934481401</v>
      </c>
      <c r="AH47" s="1">
        <v>8.8098525229741593</v>
      </c>
      <c r="AI47" s="1">
        <v>300.31764272553499</v>
      </c>
      <c r="AJ47" s="1">
        <v>0.86757989155459603</v>
      </c>
    </row>
    <row r="48" spans="1:36" x14ac:dyDescent="0.25">
      <c r="A48" s="1" t="s">
        <v>39</v>
      </c>
      <c r="B48" s="1">
        <v>3</v>
      </c>
      <c r="C48" s="1">
        <v>0</v>
      </c>
      <c r="D48" s="1">
        <v>0</v>
      </c>
      <c r="E48" s="1" t="s">
        <v>37</v>
      </c>
      <c r="F48" s="1" t="s">
        <v>37</v>
      </c>
      <c r="G48" s="1" t="s">
        <v>37</v>
      </c>
      <c r="H48" s="1" t="s">
        <v>37</v>
      </c>
      <c r="I48" s="1" t="s">
        <v>37</v>
      </c>
      <c r="J48" s="1" t="s">
        <v>37</v>
      </c>
      <c r="K48" s="1" t="s">
        <v>37</v>
      </c>
      <c r="L48" s="1">
        <v>153700</v>
      </c>
      <c r="M48" s="1" t="s">
        <v>37</v>
      </c>
      <c r="N48" s="1" t="s">
        <v>37</v>
      </c>
      <c r="O48" s="1">
        <v>4.2735307301839196</v>
      </c>
      <c r="P48" s="1">
        <v>10</v>
      </c>
      <c r="Q48" s="1">
        <v>20</v>
      </c>
      <c r="R48" s="1">
        <v>39</v>
      </c>
      <c r="S48" s="1">
        <v>309.99202706305999</v>
      </c>
      <c r="T48" s="1">
        <v>677.63129066565295</v>
      </c>
      <c r="U48" s="1">
        <v>310.49202706305999</v>
      </c>
      <c r="V48" s="1">
        <v>1370.8687093343401</v>
      </c>
      <c r="W48" s="1">
        <v>1165.7274585795601</v>
      </c>
      <c r="X48" s="1">
        <v>314.15926535897898</v>
      </c>
      <c r="Y48" s="1">
        <v>183.145084909849</v>
      </c>
      <c r="Z48" s="1">
        <v>6.3650491038478103</v>
      </c>
      <c r="AA48" s="1">
        <v>134.63578796386699</v>
      </c>
      <c r="AB48" s="1">
        <v>3.7106257466178101</v>
      </c>
      <c r="AC48" s="1">
        <v>93.178030084822296</v>
      </c>
      <c r="AD48" s="1">
        <v>2991</v>
      </c>
      <c r="AE48" s="1">
        <v>4.2735307301839196</v>
      </c>
      <c r="AF48" s="1">
        <v>7.83991389502145</v>
      </c>
      <c r="AG48" s="1">
        <v>8.5433358527032599</v>
      </c>
      <c r="AH48" s="1">
        <v>7.13649193733964</v>
      </c>
      <c r="AI48" s="1">
        <v>0.54885967425586102</v>
      </c>
      <c r="AJ48" s="1">
        <v>0.83530031372498703</v>
      </c>
    </row>
    <row r="49" spans="1:36" x14ac:dyDescent="0.25">
      <c r="A49" s="1" t="s">
        <v>40</v>
      </c>
      <c r="B49" s="1">
        <v>4</v>
      </c>
      <c r="C49" s="1">
        <v>0</v>
      </c>
      <c r="D49" s="1">
        <v>0</v>
      </c>
      <c r="E49" s="1" t="s">
        <v>37</v>
      </c>
      <c r="F49" s="1" t="s">
        <v>37</v>
      </c>
      <c r="G49" s="1" t="s">
        <v>37</v>
      </c>
      <c r="H49" s="1" t="s">
        <v>37</v>
      </c>
      <c r="I49" s="1" t="s">
        <v>37</v>
      </c>
      <c r="J49" s="1" t="s">
        <v>37</v>
      </c>
      <c r="K49" s="1" t="s">
        <v>37</v>
      </c>
      <c r="L49" s="1">
        <v>109050</v>
      </c>
      <c r="M49" s="1" t="s">
        <v>37</v>
      </c>
      <c r="N49" s="1" t="s">
        <v>37</v>
      </c>
      <c r="O49" s="1">
        <v>4.6984092768521801</v>
      </c>
      <c r="P49" s="1">
        <v>10</v>
      </c>
      <c r="Q49" s="1">
        <v>20</v>
      </c>
      <c r="R49" s="1">
        <v>39</v>
      </c>
      <c r="S49" s="1">
        <v>310.20107686265902</v>
      </c>
      <c r="T49" s="1">
        <v>677.96995332533197</v>
      </c>
      <c r="U49" s="1">
        <v>310.70107686265902</v>
      </c>
      <c r="V49" s="1">
        <v>1370.5300466746601</v>
      </c>
      <c r="W49" s="1">
        <v>9441.6266053801501</v>
      </c>
      <c r="X49" s="1">
        <v>314.15926535897898</v>
      </c>
      <c r="Y49" s="1">
        <v>644.79876453065106</v>
      </c>
      <c r="Z49" s="1">
        <v>14.6427492184367</v>
      </c>
      <c r="AA49" s="1">
        <v>1472.02124023437</v>
      </c>
      <c r="AB49" s="1">
        <v>30.053630901483999</v>
      </c>
      <c r="AC49" s="1">
        <v>1156.80499100264</v>
      </c>
      <c r="AD49" s="1">
        <v>2663</v>
      </c>
      <c r="AE49" s="1">
        <v>4.6984092768521801</v>
      </c>
      <c r="AF49" s="1">
        <v>7.7537871074295097</v>
      </c>
      <c r="AG49" s="1">
        <v>7.4497181802892296</v>
      </c>
      <c r="AH49" s="1">
        <v>8.0578560345697792</v>
      </c>
      <c r="AI49" s="1">
        <v>295.07902731065599</v>
      </c>
      <c r="AJ49" s="1">
        <v>0.88439958374491301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tabSelected="1" workbookViewId="0">
      <selection activeCell="P14" sqref="A14:P14"/>
    </sheetView>
  </sheetViews>
  <sheetFormatPr defaultRowHeight="15" x14ac:dyDescent="0.25"/>
  <cols>
    <col min="1" max="1" width="12" bestFit="1" customWidth="1"/>
    <col min="9" max="13" width="12" bestFit="1" customWidth="1"/>
  </cols>
  <sheetData>
    <row r="1" spans="1:18" x14ac:dyDescent="0.25">
      <c r="A1" t="s">
        <v>42</v>
      </c>
      <c r="B1" t="s">
        <v>51</v>
      </c>
      <c r="C1" t="s">
        <v>43</v>
      </c>
      <c r="D1" t="s">
        <v>52</v>
      </c>
      <c r="E1" t="s">
        <v>41</v>
      </c>
      <c r="F1" t="s">
        <v>53</v>
      </c>
      <c r="G1" t="s">
        <v>44</v>
      </c>
      <c r="H1" t="s">
        <v>54</v>
      </c>
      <c r="I1" t="s">
        <v>45</v>
      </c>
      <c r="J1" t="s">
        <v>55</v>
      </c>
      <c r="K1" t="s">
        <v>46</v>
      </c>
      <c r="L1" t="s">
        <v>56</v>
      </c>
      <c r="M1" t="s">
        <v>47</v>
      </c>
      <c r="N1" t="s">
        <v>57</v>
      </c>
      <c r="O1" t="s">
        <v>48</v>
      </c>
      <c r="P1" t="s">
        <v>58</v>
      </c>
      <c r="Q1" t="s">
        <v>49</v>
      </c>
      <c r="R1" t="s">
        <v>50</v>
      </c>
    </row>
    <row r="2" spans="1:18" x14ac:dyDescent="0.25">
      <c r="A2" cm="1">
        <f t="array" ref="A2">INDEX(Measurements!$W$1:$W$100, 4*(ROW() - 2) + 2)</f>
        <v>18863.015726868201</v>
      </c>
      <c r="B2" cm="1">
        <f t="array" ref="B2">INDEX(Measurements!$Y$1:$Y$100, 4*(ROW() - 2) + 2)</f>
        <v>1303.8610523417501</v>
      </c>
      <c r="C2" cm="1">
        <f t="array" ref="C2">INDEX(Measurements!$W$1:$W$100, 4*(ROW() - 2) + 3)</f>
        <v>62848.658863867597</v>
      </c>
      <c r="D2" cm="1">
        <f t="array" ref="D2">INDEX(Measurements!$Y$1:$Y$100, 4*(ROW() - 2) + 3)</f>
        <v>2032.2388586288901</v>
      </c>
      <c r="E2" cm="1">
        <f t="array" ref="E2">INDEX(Measurements!$W$1:$W$100, 4*(ROW() - 2) + 4)</f>
        <v>6159.9944062514696</v>
      </c>
      <c r="F2" cm="1">
        <f t="array" ref="F2">INDEX(Measurements!$Y$1:$Y$100, 4*(ROW() - 2) + 4)</f>
        <v>706.587088868911</v>
      </c>
      <c r="G2" cm="1">
        <f t="array" ref="G2">INDEX(Measurements!$W$1:$W$100, 4*(ROW() - 2) + 5)</f>
        <v>65563.748389767396</v>
      </c>
      <c r="H2" cm="1">
        <f t="array" ref="H2">INDEX(Measurements!$Y$1:$Y$100, 4*(ROW() - 2) + 5)</f>
        <v>2480.8948497536699</v>
      </c>
      <c r="I2">
        <f>A2 * 8.8 * 10^-18 / 120600</f>
        <v>1.3764057910152587E-18</v>
      </c>
      <c r="J2">
        <f>B2 * 8.8 * 10^-18 / 120600</f>
        <v>9.5140773305202343E-20</v>
      </c>
      <c r="K2">
        <f>C2 * 2.45 * 10^-18 / 123600</f>
        <v>1.2457865227870197E-18</v>
      </c>
      <c r="L2">
        <f>D2 * 2.45 * 10^-18 / 123600</f>
        <v>4.0283051809391439E-20</v>
      </c>
      <c r="M2">
        <f>E2 * 5.99 * 10^-17 / 153700</f>
        <v>2.4006744628136828E-18</v>
      </c>
      <c r="N2">
        <f>F2 * 5.99 * 10^-17 / 153700</f>
        <v>2.7537128577259451E-19</v>
      </c>
      <c r="O2">
        <f>G2 * 1.89 * 10^-18 / 109050</f>
        <v>1.1363180601252671E-18</v>
      </c>
      <c r="P2">
        <f>H2 * 1.89 * 10^-18 / 109050</f>
        <v>4.2997627382250672E-20</v>
      </c>
    </row>
    <row r="3" spans="1:18" x14ac:dyDescent="0.25">
      <c r="A3" cm="1">
        <f t="array" ref="A3">INDEX(Measurements!$W$1:$W$100, 4*(ROW() - 2) + 2)</f>
        <v>71868.307422682105</v>
      </c>
      <c r="B3" cm="1">
        <f t="array" ref="B3">INDEX(Measurements!$Y$1:$Y$100, 4*(ROW() - 2) + 2)</f>
        <v>1718.4943279577999</v>
      </c>
      <c r="C3" cm="1">
        <f t="array" ref="C3">INDEX(Measurements!$W$1:$W$100, 4*(ROW() - 2) + 3)</f>
        <v>237991.957561585</v>
      </c>
      <c r="D3" cm="1">
        <f t="array" ref="D3">INDEX(Measurements!$Y$1:$Y$100, 4*(ROW() - 2) + 3)</f>
        <v>2684.85489965024</v>
      </c>
      <c r="E3" cm="1">
        <f t="array" ref="E3">INDEX(Measurements!$W$1:$W$100, 4*(ROW() - 2) + 4)</f>
        <v>24958.4052709069</v>
      </c>
      <c r="F3" cm="1">
        <f t="array" ref="F3">INDEX(Measurements!$Y$1:$Y$100, 4*(ROW() - 2) + 4)</f>
        <v>931.56374065539205</v>
      </c>
      <c r="G3" cm="1">
        <f t="array" ref="G3">INDEX(Measurements!$W$1:$W$100, 4*(ROW() - 2) + 5)</f>
        <v>332767.55196061701</v>
      </c>
      <c r="H3" cm="1">
        <f t="array" ref="H3">INDEX(Measurements!$Y$1:$Y$100, 4*(ROW() - 2) + 5)</f>
        <v>3282.58887621231</v>
      </c>
      <c r="I3">
        <f t="shared" ref="I3:I14" si="0">A3 * 8.8 * 10^-18 / 120600</f>
        <v>5.2441219346567374E-18</v>
      </c>
      <c r="J3">
        <f t="shared" ref="J3:J14" si="1">B3 * 8.8 * 10^-18 / 120600</f>
        <v>1.2539593769509654E-19</v>
      </c>
      <c r="K3">
        <f t="shared" ref="K3:K14" si="2">C3 * 2.45 * 10^-18 / 123600</f>
        <v>4.7174781231867584E-18</v>
      </c>
      <c r="L3">
        <f t="shared" ref="L3:L14" si="3">D3 * 2.45 * 10^-18 / 123600</f>
        <v>5.3219211198568688E-20</v>
      </c>
      <c r="M3">
        <f t="shared" ref="M3:M14" si="4">E3 * 5.99 * 10^-17 / 153700</f>
        <v>9.7267955479982013E-18</v>
      </c>
      <c r="N3">
        <f t="shared" ref="N3:N14" si="5">F3 * 5.99 * 10^-17 / 153700</f>
        <v>3.6304923920141831E-19</v>
      </c>
      <c r="O3">
        <f t="shared" ref="O3:O14" si="6">G3 * 1.89 * 10^-18 / 109050</f>
        <v>5.7673605979419184E-18</v>
      </c>
      <c r="P3">
        <f t="shared" ref="P3:P14" si="7">H3 * 1.89 * 10^-18 / 109050</f>
        <v>5.689218685044719E-20</v>
      </c>
    </row>
    <row r="4" spans="1:18" x14ac:dyDescent="0.25">
      <c r="A4" cm="1">
        <f t="array" ref="A4">INDEX(Measurements!$W$1:$W$100, 4*(ROW() - 2) + 2)</f>
        <v>36315.926860268497</v>
      </c>
      <c r="B4" cm="1">
        <f t="array" ref="B4">INDEX(Measurements!$Y$1:$Y$100, 4*(ROW() - 2) + 2)</f>
        <v>757.316533885995</v>
      </c>
      <c r="C4" cm="1">
        <f t="array" ref="C4">INDEX(Measurements!$W$1:$W$100, 4*(ROW() - 2) + 3)</f>
        <v>84534.931470177296</v>
      </c>
      <c r="D4" cm="1">
        <f t="array" ref="D4">INDEX(Measurements!$Y$1:$Y$100, 4*(ROW() - 2) + 3)</f>
        <v>1174.7393229910399</v>
      </c>
      <c r="E4" cm="1">
        <f t="array" ref="E4">INDEX(Measurements!$W$1:$W$100, 4*(ROW() - 2) + 4)</f>
        <v>12068.142565464999</v>
      </c>
      <c r="F4" cm="1">
        <f t="array" ref="F4">INDEX(Measurements!$Y$1:$Y$100, 4*(ROW() - 2) + 4)</f>
        <v>411.64968215466803</v>
      </c>
      <c r="G4" cm="1">
        <f t="array" ref="G4">INDEX(Measurements!$W$1:$W$100, 4*(ROW() - 2) + 5)</f>
        <v>145996.73683700801</v>
      </c>
      <c r="H4" cm="1">
        <f t="array" ref="H4">INDEX(Measurements!$Y$1:$Y$100, 4*(ROW() - 2) + 5)</f>
        <v>1445.84663321892</v>
      </c>
      <c r="I4">
        <f t="shared" si="0"/>
        <v>2.649918377863705E-18</v>
      </c>
      <c r="J4">
        <f t="shared" si="1"/>
        <v>5.5260244595329659E-20</v>
      </c>
      <c r="K4">
        <f t="shared" si="2"/>
        <v>1.6756519587535147E-18</v>
      </c>
      <c r="L4">
        <f t="shared" si="3"/>
        <v>2.3285690463819161E-20</v>
      </c>
      <c r="M4">
        <f t="shared" si="4"/>
        <v>4.7031993472436793E-18</v>
      </c>
      <c r="N4">
        <f t="shared" si="5"/>
        <v>1.6042821054693962E-19</v>
      </c>
      <c r="O4">
        <f t="shared" si="6"/>
        <v>2.5303423440801938E-18</v>
      </c>
      <c r="P4">
        <f t="shared" si="7"/>
        <v>2.5058689929241254E-20</v>
      </c>
    </row>
    <row r="5" spans="1:18" x14ac:dyDescent="0.25">
      <c r="A5" cm="1">
        <f t="array" ref="A5">INDEX(Measurements!$W$1:$W$100, 4*(ROW() - 2) + 2)</f>
        <v>71021.602087216394</v>
      </c>
      <c r="B5" cm="1">
        <f t="array" ref="B5">INDEX(Measurements!$Y$1:$Y$100, 4*(ROW() - 2) + 2)</f>
        <v>2281.78397026323</v>
      </c>
      <c r="C5" cm="1">
        <f t="array" ref="C5">INDEX(Measurements!$W$1:$W$100, 4*(ROW() - 2) + 3)</f>
        <v>260553.81484537499</v>
      </c>
      <c r="D5" cm="1">
        <f t="array" ref="D5">INDEX(Measurements!$Y$1:$Y$100, 4*(ROW() - 2) + 3)</f>
        <v>3561.7444256990102</v>
      </c>
      <c r="E5" cm="1">
        <f t="array" ref="E5">INDEX(Measurements!$W$1:$W$100, 4*(ROW() - 2) + 4)</f>
        <v>19014.870996014899</v>
      </c>
      <c r="F5" cm="1">
        <f t="array" ref="F5">INDEX(Measurements!$Y$1:$Y$100, 4*(ROW() - 2) + 4)</f>
        <v>1235.19057524955</v>
      </c>
      <c r="G5" cm="1">
        <f t="array" ref="G5">INDEX(Measurements!$W$1:$W$100, 4*(ROW() - 2) + 5)</f>
        <v>373929.53212855302</v>
      </c>
      <c r="H5" cm="1">
        <f t="array" ref="H5">INDEX(Measurements!$Y$1:$Y$100, 4*(ROW() - 2) + 5)</f>
        <v>4357.3117943157804</v>
      </c>
      <c r="I5">
        <f t="shared" si="0"/>
        <v>5.1823391241086597E-18</v>
      </c>
      <c r="J5">
        <f t="shared" si="1"/>
        <v>1.6649833282186092E-19</v>
      </c>
      <c r="K5">
        <f t="shared" si="2"/>
        <v>5.1646994042974821E-18</v>
      </c>
      <c r="L5">
        <f t="shared" si="3"/>
        <v>7.0600921059567765E-20</v>
      </c>
      <c r="M5">
        <f t="shared" si="4"/>
        <v>7.4104799782777641E-18</v>
      </c>
      <c r="N5">
        <f t="shared" si="5"/>
        <v>4.8137876029569318E-19</v>
      </c>
      <c r="O5">
        <f t="shared" si="6"/>
        <v>6.4807594289130236E-18</v>
      </c>
      <c r="P5">
        <f t="shared" si="7"/>
        <v>7.5518746366408301E-20</v>
      </c>
    </row>
    <row r="6" spans="1:18" x14ac:dyDescent="0.25">
      <c r="A6" cm="1">
        <f t="array" ref="A6">INDEX(Measurements!$W$1:$W$100, 4*(ROW() - 2) + 2)</f>
        <v>51056.717407164797</v>
      </c>
      <c r="B6" cm="1">
        <f t="array" ref="B6">INDEX(Measurements!$Y$1:$Y$100, 4*(ROW() - 2) + 2)</f>
        <v>1314.31965282331</v>
      </c>
      <c r="C6" cm="1">
        <f t="array" ref="C6">INDEX(Measurements!$W$1:$W$100, 4*(ROW() - 2) + 3)</f>
        <v>356954.95367660897</v>
      </c>
      <c r="D6" cm="1">
        <f t="array" ref="D6">INDEX(Measurements!$Y$1:$Y$100, 4*(ROW() - 2) + 3)</f>
        <v>2102.48839792125</v>
      </c>
      <c r="E6" cm="1">
        <f t="array" ref="E6">INDEX(Measurements!$W$1:$W$100, 4*(ROW() - 2) + 4)</f>
        <v>11206.551155237799</v>
      </c>
      <c r="F6" cm="1">
        <f t="array" ref="F6">INDEX(Measurements!$Y$1:$Y$100, 4*(ROW() - 2) + 4)</f>
        <v>708.02950472079897</v>
      </c>
      <c r="G6" cm="1">
        <f t="array" ref="G6">INDEX(Measurements!$W$1:$W$100, 4*(ROW() - 2) + 5)</f>
        <v>298517.55110891402</v>
      </c>
      <c r="H6" cm="1">
        <f t="array" ref="H6">INDEX(Measurements!$Y$1:$Y$100, 4*(ROW() - 2) + 5)</f>
        <v>2527.3829980711698</v>
      </c>
      <c r="I6">
        <f t="shared" si="0"/>
        <v>3.7255316184332523E-18</v>
      </c>
      <c r="J6">
        <f t="shared" si="1"/>
        <v>9.5903921599047503E-20</v>
      </c>
      <c r="K6">
        <f t="shared" si="2"/>
        <v>7.0755634021657937E-18</v>
      </c>
      <c r="L6">
        <f t="shared" si="3"/>
        <v>4.1675538631934167E-20</v>
      </c>
      <c r="M6">
        <f t="shared" si="4"/>
        <v>4.3674197410458313E-18</v>
      </c>
      <c r="N6">
        <f t="shared" si="5"/>
        <v>2.7593342441623855E-19</v>
      </c>
      <c r="O6">
        <f t="shared" si="6"/>
        <v>5.1737567317363363E-18</v>
      </c>
      <c r="P6">
        <f t="shared" si="7"/>
        <v>4.3803336692842839E-20</v>
      </c>
    </row>
    <row r="7" spans="1:18" x14ac:dyDescent="0.25">
      <c r="A7" cm="1">
        <f t="array" ref="A7">INDEX(Measurements!$W$1:$W$100, 4*(ROW() - 2) + 2)</f>
        <v>6992.4960453010799</v>
      </c>
      <c r="B7" cm="1">
        <f t="array" ref="B7">INDEX(Measurements!$Y$1:$Y$100, 4*(ROW() - 2) + 2)</f>
        <v>902.53774998071594</v>
      </c>
      <c r="C7" cm="1">
        <f t="array" ref="C7">INDEX(Measurements!$W$1:$W$100, 4*(ROW() - 2) + 3)</f>
        <v>13299.763036391199</v>
      </c>
      <c r="D7" cm="1">
        <f t="array" ref="D7">INDEX(Measurements!$Y$1:$Y$100, 4*(ROW() - 2) + 3)</f>
        <v>1402.1349844578399</v>
      </c>
      <c r="E7" cm="1">
        <f t="array" ref="E7">INDEX(Measurements!$W$1:$W$100, 4*(ROW() - 2) + 4)</f>
        <v>2682.6582496567798</v>
      </c>
      <c r="F7" cm="1">
        <f t="array" ref="F7">INDEX(Measurements!$Y$1:$Y$100, 4*(ROW() - 2) + 4)</f>
        <v>486.95981397553601</v>
      </c>
      <c r="G7" cm="1">
        <f t="array" ref="G7">INDEX(Measurements!$W$1:$W$100, 4*(ROW() - 2) + 5)</f>
        <v>18296.037233216201</v>
      </c>
      <c r="H7" cm="1">
        <f t="array" ref="H7">INDEX(Measurements!$Y$1:$Y$100, 4*(ROW() - 2) + 5)</f>
        <v>1714.91141279917</v>
      </c>
      <c r="I7">
        <f t="shared" si="0"/>
        <v>5.1023188390256651E-19</v>
      </c>
      <c r="J7">
        <f t="shared" si="1"/>
        <v>6.5856817577365685E-20</v>
      </c>
      <c r="K7">
        <f t="shared" si="2"/>
        <v>2.6362798898995505E-19</v>
      </c>
      <c r="L7">
        <f t="shared" si="3"/>
        <v>2.7793128737230651E-20</v>
      </c>
      <c r="M7">
        <f t="shared" si="4"/>
        <v>1.0454862013951929E-18</v>
      </c>
      <c r="N7">
        <f t="shared" si="5"/>
        <v>1.8977809275949647E-19</v>
      </c>
      <c r="O7">
        <f t="shared" si="6"/>
        <v>3.1709775672424229E-19</v>
      </c>
      <c r="P7">
        <f t="shared" si="7"/>
        <v>2.9721985971484922E-20</v>
      </c>
    </row>
    <row r="8" spans="1:18" x14ac:dyDescent="0.25">
      <c r="A8" cm="1">
        <f t="array" ref="A8">INDEX(Measurements!$W$1:$W$100, 4*(ROW() - 2) + 2)</f>
        <v>16901.8406320295</v>
      </c>
      <c r="B8" cm="1">
        <f t="array" ref="B8">INDEX(Measurements!$Y$1:$Y$100, 4*(ROW() - 2) + 2)</f>
        <v>592.17716832767906</v>
      </c>
      <c r="C8" cm="1">
        <f t="array" ref="C8">INDEX(Measurements!$W$1:$W$100, 4*(ROW() - 2) + 3)</f>
        <v>39123.166788471601</v>
      </c>
      <c r="D8" cm="1">
        <f t="array" ref="D8">INDEX(Measurements!$Y$1:$Y$100, 4*(ROW() - 2) + 3)</f>
        <v>914.83756229762298</v>
      </c>
      <c r="E8" cm="1">
        <f t="array" ref="E8">INDEX(Measurements!$W$1:$W$100, 4*(ROW() - 2) + 4)</f>
        <v>5098.1181019748701</v>
      </c>
      <c r="F8" cm="1">
        <f t="array" ref="F8">INDEX(Measurements!$Y$1:$Y$100, 4*(ROW() - 2) + 4)</f>
        <v>321.396753416661</v>
      </c>
      <c r="G8" cm="1">
        <f t="array" ref="G8">INDEX(Measurements!$W$1:$W$100, 4*(ROW() - 2) + 5)</f>
        <v>46261.6116990831</v>
      </c>
      <c r="H8" cm="1">
        <f t="array" ref="H8">INDEX(Measurements!$Y$1:$Y$100, 4*(ROW() - 2) + 5)</f>
        <v>1118.22540706174</v>
      </c>
      <c r="I8">
        <f t="shared" si="0"/>
        <v>1.2333018039955194E-18</v>
      </c>
      <c r="J8">
        <f t="shared" si="1"/>
        <v>4.3210274305833965E-20</v>
      </c>
      <c r="K8">
        <f t="shared" si="2"/>
        <v>7.7549966530546468E-19</v>
      </c>
      <c r="L8">
        <f t="shared" si="3"/>
        <v>1.8133916081142207E-20</v>
      </c>
      <c r="M8">
        <f t="shared" si="4"/>
        <v>1.9868397807956718E-18</v>
      </c>
      <c r="N8">
        <f t="shared" si="5"/>
        <v>1.2525481801989588E-19</v>
      </c>
      <c r="O8">
        <f t="shared" si="6"/>
        <v>8.0178309134586941E-19</v>
      </c>
      <c r="P8">
        <f t="shared" si="7"/>
        <v>1.9380522873422181E-20</v>
      </c>
    </row>
    <row r="9" spans="1:18" x14ac:dyDescent="0.25">
      <c r="A9" cm="1">
        <f t="array" ref="A9">INDEX(Measurements!$W$1:$W$100, 4*(ROW() - 2) + 2)</f>
        <v>14377.743204807801</v>
      </c>
      <c r="B9" cm="1">
        <f t="array" ref="B9">INDEX(Measurements!$Y$1:$Y$100, 4*(ROW() - 2) + 2)</f>
        <v>1334.8521736561599</v>
      </c>
      <c r="C9" cm="1">
        <f t="array" ref="C9">INDEX(Measurements!$W$1:$W$100, 4*(ROW() - 2) + 3)</f>
        <v>64498.688895349303</v>
      </c>
      <c r="D9" cm="1">
        <f t="array" ref="D9">INDEX(Measurements!$Y$1:$Y$100, 4*(ROW() - 2) + 3)</f>
        <v>2083.0428382738</v>
      </c>
      <c r="E9" cm="1">
        <f t="array" ref="E9">INDEX(Measurements!$W$1:$W$100, 4*(ROW() - 2) + 4)</f>
        <v>2846.81032988784</v>
      </c>
      <c r="F9" cm="1">
        <f t="array" ref="F9">INDEX(Measurements!$Y$1:$Y$100, 4*(ROW() - 2) + 4)</f>
        <v>719.82515030385196</v>
      </c>
      <c r="G9" cm="1">
        <f t="array" ref="G9">INDEX(Measurements!$W$1:$W$100, 4*(ROW() - 2) + 5)</f>
        <v>70956.556183899695</v>
      </c>
      <c r="H9" cm="1">
        <f t="array" ref="H9">INDEX(Measurements!$Y$1:$Y$100, 4*(ROW() - 2) + 5)</f>
        <v>2545.61431203845</v>
      </c>
      <c r="I9">
        <f t="shared" si="0"/>
        <v>1.0491222238997402E-18</v>
      </c>
      <c r="J9">
        <f t="shared" si="1"/>
        <v>9.7402148658160938E-20</v>
      </c>
      <c r="K9">
        <f t="shared" si="2"/>
        <v>1.2784934287508562E-18</v>
      </c>
      <c r="L9">
        <f t="shared" si="3"/>
        <v>4.1290088622741186E-20</v>
      </c>
      <c r="M9">
        <f t="shared" si="4"/>
        <v>1.109459588550954E-18</v>
      </c>
      <c r="N9">
        <f t="shared" si="5"/>
        <v>2.8053042617567164E-19</v>
      </c>
      <c r="O9">
        <f t="shared" si="6"/>
        <v>1.2297835047003248E-18</v>
      </c>
      <c r="P9">
        <f t="shared" si="7"/>
        <v>4.4119312698328015E-20</v>
      </c>
    </row>
    <row r="10" spans="1:18" x14ac:dyDescent="0.25">
      <c r="A10" cm="1">
        <f t="array" ref="A10">INDEX(Measurements!$W$1:$W$100, 4*(ROW() - 2) + 2)</f>
        <v>31761.984769147799</v>
      </c>
      <c r="B10" cm="1">
        <f t="array" ref="B10">INDEX(Measurements!$Y$1:$Y$100, 4*(ROW() - 2) + 2)</f>
        <v>948.86829326972304</v>
      </c>
      <c r="C10" cm="1">
        <f t="array" ref="C10">INDEX(Measurements!$W$1:$W$100, 4*(ROW() - 2) + 3)</f>
        <v>80661.481836141305</v>
      </c>
      <c r="D10" cm="1">
        <f t="array" ref="D10">INDEX(Measurements!$Y$1:$Y$100, 4*(ROW() - 2) + 3)</f>
        <v>1478.4949018822099</v>
      </c>
      <c r="E10" cm="1">
        <f t="array" ref="E10">INDEX(Measurements!$W$1:$W$100, 4*(ROW() - 2) + 4)</f>
        <v>9467.5834730861498</v>
      </c>
      <c r="F10" cm="1">
        <f t="array" ref="F10">INDEX(Measurements!$Y$1:$Y$100, 4*(ROW() - 2) + 4)</f>
        <v>512.65420909475495</v>
      </c>
      <c r="G10" cm="1">
        <f t="array" ref="G10">INDEX(Measurements!$W$1:$W$100, 4*(ROW() - 2) + 5)</f>
        <v>136179.23583212899</v>
      </c>
      <c r="H10" cm="1">
        <f t="array" ref="H10">INDEX(Measurements!$Y$1:$Y$100, 4*(ROW() - 2) + 5)</f>
        <v>1814.6415949147799</v>
      </c>
      <c r="I10">
        <f t="shared" si="0"/>
        <v>2.3176240959245494E-18</v>
      </c>
      <c r="J10">
        <f t="shared" si="1"/>
        <v>6.9237487402765872E-20</v>
      </c>
      <c r="K10">
        <f t="shared" si="2"/>
        <v>1.5988724150367818E-18</v>
      </c>
      <c r="L10">
        <f t="shared" si="3"/>
        <v>2.9306735514655457E-20</v>
      </c>
      <c r="M10">
        <f t="shared" si="4"/>
        <v>3.6897088486523129E-18</v>
      </c>
      <c r="N10">
        <f t="shared" si="5"/>
        <v>1.9979171844356426E-19</v>
      </c>
      <c r="O10">
        <f t="shared" si="6"/>
        <v>2.3601903321661974E-18</v>
      </c>
      <c r="P10">
        <f t="shared" si="7"/>
        <v>3.1450459554231404E-20</v>
      </c>
    </row>
    <row r="11" spans="1:18" x14ac:dyDescent="0.25">
      <c r="A11" cm="1">
        <f t="array" ref="A11">INDEX(Measurements!$W$1:$W$100, 4*(ROW() - 2) + 2)</f>
        <v>15120.157481201601</v>
      </c>
      <c r="B11" cm="1">
        <f t="array" ref="B11">INDEX(Measurements!$Y$1:$Y$100, 4*(ROW() - 2) + 2)</f>
        <v>1337.54472150076</v>
      </c>
      <c r="C11" cm="1">
        <f t="array" ref="C11">INDEX(Measurements!$W$1:$W$100, 4*(ROW() - 2) + 3)</f>
        <v>24833.684262505201</v>
      </c>
      <c r="D11" cm="1">
        <f t="array" ref="D11">INDEX(Measurements!$Y$1:$Y$100, 4*(ROW() - 2) + 3)</f>
        <v>2076.7603598764199</v>
      </c>
      <c r="E11" cm="1">
        <f t="array" ref="E11">INDEX(Measurements!$W$1:$W$100, 4*(ROW() - 2) + 4)</f>
        <v>1928.1782477368199</v>
      </c>
      <c r="F11" cm="1">
        <f t="array" ref="F11">INDEX(Measurements!$Y$1:$Y$100, 4*(ROW() - 2) + 4)</f>
        <v>721.88491323147605</v>
      </c>
      <c r="G11" cm="1">
        <f t="array" ref="G11">INDEX(Measurements!$W$1:$W$100, 4*(ROW() - 2) + 5)</f>
        <v>47008.251586685801</v>
      </c>
      <c r="H11" cm="1">
        <f t="array" ref="H11">INDEX(Measurements!$Y$1:$Y$100, 4*(ROW() - 2) + 5)</f>
        <v>2545.2663796543202</v>
      </c>
      <c r="I11">
        <f t="shared" si="0"/>
        <v>1.1032950732551749E-18</v>
      </c>
      <c r="J11">
        <f t="shared" si="1"/>
        <v>9.759861981100075E-20</v>
      </c>
      <c r="K11">
        <f t="shared" si="2"/>
        <v>4.9225345018719859E-19</v>
      </c>
      <c r="L11">
        <f t="shared" si="3"/>
        <v>4.1165557295285034E-20</v>
      </c>
      <c r="M11">
        <f t="shared" si="4"/>
        <v>7.5145007833074521E-19</v>
      </c>
      <c r="N11">
        <f t="shared" si="5"/>
        <v>2.8133315746626818E-19</v>
      </c>
      <c r="O11">
        <f t="shared" si="6"/>
        <v>8.147234800443482E-19</v>
      </c>
      <c r="P11">
        <f t="shared" si="7"/>
        <v>4.4113282508451767E-20</v>
      </c>
    </row>
    <row r="12" spans="1:18" x14ac:dyDescent="0.25">
      <c r="A12" cm="1">
        <f t="array" ref="A12">INDEX(Measurements!$W$1:$W$100, 4*(ROW() - 2) + 2)</f>
        <v>21786.962506899901</v>
      </c>
      <c r="B12" cm="1">
        <f t="array" ref="B12">INDEX(Measurements!$Y$1:$Y$100, 4*(ROW() - 2) + 2)</f>
        <v>911.10781788833106</v>
      </c>
      <c r="C12" cm="1">
        <f t="array" ref="C12">INDEX(Measurements!$W$1:$W$100, 4*(ROW() - 2) + 3)</f>
        <v>81168.700700416201</v>
      </c>
      <c r="D12" cm="1">
        <f t="array" ref="D12">INDEX(Measurements!$Y$1:$Y$100, 4*(ROW() - 2) + 3)</f>
        <v>1426.1037087402501</v>
      </c>
      <c r="E12" cm="1">
        <f t="array" ref="E12">INDEX(Measurements!$W$1:$W$100, 4*(ROW() - 2) + 4)</f>
        <v>8137.5039306306198</v>
      </c>
      <c r="F12" cm="1">
        <f t="array" ref="F12">INDEX(Measurements!$Y$1:$Y$100, 4*(ROW() - 2) + 4)</f>
        <v>495.26976298072401</v>
      </c>
      <c r="G12" cm="1">
        <f t="array" ref="G12">INDEX(Measurements!$W$1:$W$100, 4*(ROW() - 2) + 5)</f>
        <v>98651.771346294307</v>
      </c>
      <c r="H12" cm="1">
        <f t="array" ref="H12">INDEX(Measurements!$Y$1:$Y$100, 4*(ROW() - 2) + 5)</f>
        <v>1739.36864038357</v>
      </c>
      <c r="I12">
        <f t="shared" si="0"/>
        <v>1.5897617749645037E-18</v>
      </c>
      <c r="J12">
        <f t="shared" si="1"/>
        <v>6.6482162499314372E-20</v>
      </c>
      <c r="K12">
        <f t="shared" si="2"/>
        <v>1.6089265106474087E-18</v>
      </c>
      <c r="L12">
        <f t="shared" si="3"/>
        <v>2.8268236945093956E-20</v>
      </c>
      <c r="M12">
        <f t="shared" si="4"/>
        <v>3.1713499378319729E-18</v>
      </c>
      <c r="N12">
        <f t="shared" si="5"/>
        <v>1.930166480321755E-19</v>
      </c>
      <c r="O12">
        <f t="shared" si="6"/>
        <v>1.7097831072397636E-18</v>
      </c>
      <c r="P12">
        <f t="shared" si="7"/>
        <v>3.0145866394543301E-20</v>
      </c>
    </row>
    <row r="13" spans="1:18" x14ac:dyDescent="0.25">
      <c r="A13" cm="1">
        <f t="array" ref="A13">INDEX(Measurements!$W$1:$W$100, 4*(ROW() - 2) + 2)</f>
        <v>3438.0371448332698</v>
      </c>
      <c r="B13" cm="1">
        <f t="array" ref="B13">INDEX(Measurements!$Y$1:$Y$100, 4*(ROW() - 2) + 2)</f>
        <v>338.90636321750799</v>
      </c>
      <c r="C13" cm="1">
        <f t="array" ref="C13">INDEX(Measurements!$W$1:$W$100, 4*(ROW() - 2) + 3)</f>
        <v>8221.3129238889305</v>
      </c>
      <c r="D13" cm="1">
        <f t="array" ref="D13">INDEX(Measurements!$Y$1:$Y$100, 4*(ROW() - 2) + 3)</f>
        <v>528.06184145728298</v>
      </c>
      <c r="E13" cm="1">
        <f t="array" ref="E13">INDEX(Measurements!$W$1:$W$100, 4*(ROW() - 2) + 4)</f>
        <v>1165.7274585795601</v>
      </c>
      <c r="F13" cm="1">
        <f t="array" ref="F13">INDEX(Measurements!$Y$1:$Y$100, 4*(ROW() - 2) + 4)</f>
        <v>183.145084909849</v>
      </c>
      <c r="G13" cm="1">
        <f t="array" ref="G13">INDEX(Measurements!$W$1:$W$100, 4*(ROW() - 2) + 5)</f>
        <v>9441.6266053801501</v>
      </c>
      <c r="H13" cm="1">
        <f t="array" ref="H13">INDEX(Measurements!$Y$1:$Y$100, 4*(ROW() - 2) + 5)</f>
        <v>644.79876453065106</v>
      </c>
      <c r="I13">
        <f t="shared" si="0"/>
        <v>2.5086838204421875E-19</v>
      </c>
      <c r="J13">
        <f t="shared" si="1"/>
        <v>2.4729485873251002E-20</v>
      </c>
      <c r="K13">
        <f t="shared" si="2"/>
        <v>1.6296291798970779E-19</v>
      </c>
      <c r="L13">
        <f t="shared" si="3"/>
        <v>1.0467245239242262E-20</v>
      </c>
      <c r="M13">
        <f t="shared" si="4"/>
        <v>4.5430757819723917E-19</v>
      </c>
      <c r="N13">
        <f t="shared" si="5"/>
        <v>7.1375345387768104E-20</v>
      </c>
      <c r="O13">
        <f t="shared" si="6"/>
        <v>1.636375450175927E-19</v>
      </c>
      <c r="P13">
        <f t="shared" si="7"/>
        <v>1.117532934399753E-20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2025-12-28T08:38:48Z</dcterms:created>
  <dcterms:modified xsi:type="dcterms:W3CDTF">2025-12-28T09:36:00Z</dcterms:modified>
</cp:coreProperties>
</file>